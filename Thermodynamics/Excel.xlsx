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Thermodynamics\"/>
    </mc:Choice>
  </mc:AlternateContent>
  <xr:revisionPtr revIDLastSave="0" documentId="13_ncr:1_{A8E9FF10-A4EA-46BE-8D2C-4DF52C5CD10B}" xr6:coauthVersionLast="47" xr6:coauthVersionMax="47" xr10:uidLastSave="{00000000-0000-0000-0000-000000000000}"/>
  <bookViews>
    <workbookView xWindow="38290" yWindow="-110" windowWidth="38620" windowHeight="21100" activeTab="1" xr2:uid="{E4126B53-C040-4638-8BBF-BE9F5C5BBB88}"/>
  </bookViews>
  <sheets>
    <sheet name="Sheet1" sheetId="1" r:id="rId1"/>
    <sheet name="Processed data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O10" i="2"/>
  <c r="L8" i="2"/>
  <c r="I10" i="2"/>
  <c r="F8" i="2"/>
  <c r="C8" i="2"/>
  <c r="U9" i="2"/>
</calcChain>
</file>

<file path=xl/sharedStrings.xml><?xml version="1.0" encoding="utf-8"?>
<sst xmlns="http://schemas.openxmlformats.org/spreadsheetml/2006/main" count="66" uniqueCount="43">
  <si>
    <t>T(C)</t>
  </si>
  <si>
    <t>Delta_Vol(litre)</t>
  </si>
  <si>
    <t>________________</t>
  </si>
  <si>
    <t>------</t>
  </si>
  <si>
    <t>Temperature</t>
  </si>
  <si>
    <t>K2SiF6</t>
  </si>
  <si>
    <t>Li2SiF6</t>
  </si>
  <si>
    <t>Na2SiF6</t>
  </si>
  <si>
    <t>Delta_H*(J)</t>
  </si>
  <si>
    <t>Delta_G*(J)</t>
  </si>
  <si>
    <t>______________</t>
  </si>
  <si>
    <t>FeF2+SiC</t>
  </si>
  <si>
    <t>____________</t>
  </si>
  <si>
    <t>DG* = 0</t>
  </si>
  <si>
    <t>TiF4(1 mol):</t>
  </si>
  <si>
    <t>DH* = 88879.8</t>
  </si>
  <si>
    <t>SiC+TiF4</t>
  </si>
  <si>
    <t>Ti5Si3</t>
  </si>
  <si>
    <t>(T,s-FSstel)</t>
  </si>
  <si>
    <t>Keq         T</t>
  </si>
  <si>
    <t>___________ _</t>
  </si>
  <si>
    <t>=------</t>
  </si>
  <si>
    <t>Fe(1 mol):</t>
  </si>
  <si>
    <t>1.8642E+82  T</t>
  </si>
  <si>
    <t>FeF2(1 mol):</t>
  </si>
  <si>
    <t>+ 16  FeF2 = 5  T</t>
  </si>
  <si>
    <t>iF4 + 3  SiF4 +</t>
  </si>
  <si>
    <t>16  Fe</t>
  </si>
  <si>
    <t>(T)        (T)</t>
  </si>
  <si>
    <t>(T,g)     (</t>
  </si>
  <si>
    <t>T)</t>
  </si>
  <si>
    <t>_ ________ _ ____</t>
  </si>
  <si>
    <t>___ _ _______ _</t>
  </si>
  <si>
    <t>______</t>
  </si>
  <si>
    <t>Ti5Si3(S-FSstel)</t>
  </si>
  <si>
    <t>FEF2(S-FactPS)</t>
  </si>
  <si>
    <t>TIF4(S-FactPS)</t>
  </si>
  <si>
    <t>TIF4(G-FactPS)</t>
  </si>
  <si>
    <t>DH* = 1012.9</t>
  </si>
  <si>
    <t>FEF2(l-FactPS)</t>
  </si>
  <si>
    <t>DH* = 47425.9</t>
  </si>
  <si>
    <t>Ti5Si3+FeF2</t>
  </si>
  <si>
    <t>TiC+FeF2+KF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</si>
</sst>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7D21-D7E7-4AAF-A619-3FF6629EF62E}">
  <dimension ref="A1:J31"/>
  <sheetViews>
    <sheetView workbookViewId="0">
      <selection activeCell="I10" sqref="I10:J24"/>
    </sheetView>
  </sheetViews>
  <sheetFormatPr defaultRowHeight="14.5" x14ac:dyDescent="0.35"/>
  <cols>
    <col min="1" max="1" width="15.54296875" customWidth="1"/>
    <col min="2" max="2" width="33.36328125" customWidth="1"/>
    <col min="3" max="3" width="22.54296875" customWidth="1"/>
    <col min="4" max="4" width="21.1796875" customWidth="1"/>
  </cols>
  <sheetData>
    <row r="1" spans="1:10" x14ac:dyDescent="0.35">
      <c r="A1" s="1" t="s">
        <v>17</v>
      </c>
      <c r="B1" t="s">
        <v>25</v>
      </c>
      <c r="C1" t="s">
        <v>26</v>
      </c>
      <c r="D1" t="s">
        <v>27</v>
      </c>
    </row>
    <row r="2" spans="1:10" x14ac:dyDescent="0.35">
      <c r="A2" t="s">
        <v>18</v>
      </c>
      <c r="B2" t="s">
        <v>28</v>
      </c>
      <c r="C2" t="s">
        <v>29</v>
      </c>
      <c r="D2" t="s">
        <v>30</v>
      </c>
    </row>
    <row r="3" spans="1:10" x14ac:dyDescent="0.35">
      <c r="A3" t="s">
        <v>12</v>
      </c>
      <c r="B3" t="s">
        <v>31</v>
      </c>
      <c r="C3" t="s">
        <v>32</v>
      </c>
      <c r="D3" t="s">
        <v>33</v>
      </c>
    </row>
    <row r="5" spans="1:10" x14ac:dyDescent="0.35">
      <c r="A5" t="s">
        <v>0</v>
      </c>
      <c r="B5" t="s">
        <v>8</v>
      </c>
      <c r="C5" t="s">
        <v>9</v>
      </c>
      <c r="D5" t="s">
        <v>1</v>
      </c>
      <c r="E5" t="s">
        <v>19</v>
      </c>
    </row>
    <row r="6" spans="1:10" x14ac:dyDescent="0.35">
      <c r="A6" t="s">
        <v>12</v>
      </c>
      <c r="B6" t="s">
        <v>2</v>
      </c>
      <c r="C6" t="s">
        <v>10</v>
      </c>
      <c r="D6" t="s">
        <v>2</v>
      </c>
      <c r="E6" t="s">
        <v>20</v>
      </c>
    </row>
    <row r="8" spans="1:10" x14ac:dyDescent="0.35">
      <c r="A8" t="s">
        <v>21</v>
      </c>
      <c r="B8" t="s">
        <v>34</v>
      </c>
      <c r="C8" t="s">
        <v>35</v>
      </c>
      <c r="D8" t="s">
        <v>36</v>
      </c>
    </row>
    <row r="9" spans="1:10" x14ac:dyDescent="0.35">
      <c r="A9">
        <v>100</v>
      </c>
      <c r="B9">
        <v>-1038860.9</v>
      </c>
      <c r="C9">
        <v>-1173749.3</v>
      </c>
      <c r="D9" s="2">
        <v>91.86</v>
      </c>
      <c r="E9" s="2">
        <v>1.9987000000000001E+164</v>
      </c>
      <c r="F9" s="2"/>
      <c r="G9" s="2"/>
    </row>
    <row r="10" spans="1:10" x14ac:dyDescent="0.35">
      <c r="A10">
        <v>200</v>
      </c>
      <c r="B10">
        <v>-1044756.2</v>
      </c>
      <c r="C10">
        <v>-1209142.8</v>
      </c>
      <c r="D10" s="2">
        <v>116.48</v>
      </c>
      <c r="E10" s="2">
        <v>3.0418E+133</v>
      </c>
      <c r="F10" s="2"/>
      <c r="G10" s="2"/>
      <c r="I10">
        <v>100</v>
      </c>
      <c r="J10">
        <v>-1173749.3</v>
      </c>
    </row>
    <row r="11" spans="1:10" x14ac:dyDescent="0.35">
      <c r="A11">
        <v>284.45</v>
      </c>
      <c r="B11">
        <v>-1049182.5</v>
      </c>
      <c r="C11">
        <v>-1238108.3999999999</v>
      </c>
      <c r="D11" s="2">
        <v>137.27000000000001</v>
      </c>
      <c r="E11" s="2">
        <v>9.5716000000000007E+115</v>
      </c>
      <c r="F11" s="2"/>
      <c r="G11" s="2"/>
      <c r="I11">
        <v>200</v>
      </c>
      <c r="J11">
        <v>-1209142.8</v>
      </c>
    </row>
    <row r="12" spans="1:10" x14ac:dyDescent="0.35">
      <c r="A12" t="s">
        <v>21</v>
      </c>
      <c r="B12" t="s">
        <v>34</v>
      </c>
      <c r="C12" t="s">
        <v>35</v>
      </c>
      <c r="D12" s="2" t="s">
        <v>37</v>
      </c>
      <c r="F12" s="2"/>
      <c r="G12" s="2"/>
      <c r="I12">
        <v>284.45</v>
      </c>
      <c r="J12">
        <v>-1238108.3999999999</v>
      </c>
    </row>
    <row r="13" spans="1:10" x14ac:dyDescent="0.35">
      <c r="A13" t="s">
        <v>14</v>
      </c>
      <c r="B13" t="s">
        <v>15</v>
      </c>
      <c r="C13" t="s">
        <v>13</v>
      </c>
      <c r="D13" s="2" t="s">
        <v>3</v>
      </c>
      <c r="F13" s="2"/>
      <c r="G13" s="2"/>
      <c r="I13">
        <v>300</v>
      </c>
      <c r="J13">
        <v>-1255722</v>
      </c>
    </row>
    <row r="14" spans="1:10" x14ac:dyDescent="0.35">
      <c r="A14">
        <v>284.45</v>
      </c>
      <c r="B14">
        <v>-604783.5</v>
      </c>
      <c r="C14">
        <v>-1238108.3999999999</v>
      </c>
      <c r="D14" s="2">
        <v>366.04</v>
      </c>
      <c r="E14" s="2">
        <v>9.5716000000000007E+115</v>
      </c>
      <c r="F14" s="2"/>
      <c r="G14" s="2"/>
      <c r="I14">
        <v>400</v>
      </c>
      <c r="J14">
        <v>-1366611</v>
      </c>
    </row>
    <row r="15" spans="1:10" x14ac:dyDescent="0.35">
      <c r="A15">
        <v>300</v>
      </c>
      <c r="B15">
        <v>-608618.80000000005</v>
      </c>
      <c r="C15">
        <v>-1255722</v>
      </c>
      <c r="D15" s="2">
        <v>376.25</v>
      </c>
      <c r="E15" s="2">
        <v>2.7458999999999999E+114</v>
      </c>
      <c r="F15" s="2"/>
      <c r="G15" s="2"/>
      <c r="I15">
        <v>500</v>
      </c>
      <c r="J15">
        <v>-1474046.4</v>
      </c>
    </row>
    <row r="16" spans="1:10" x14ac:dyDescent="0.35">
      <c r="A16">
        <v>400</v>
      </c>
      <c r="B16">
        <v>-632760.4</v>
      </c>
      <c r="C16">
        <v>-1366611</v>
      </c>
      <c r="D16" s="2">
        <v>441.9</v>
      </c>
      <c r="E16" s="2">
        <v>1.1033000000000001E+106</v>
      </c>
      <c r="F16" s="2"/>
      <c r="G16" s="2"/>
      <c r="I16">
        <v>600</v>
      </c>
      <c r="J16">
        <v>-1578939.1</v>
      </c>
    </row>
    <row r="17" spans="1:10" x14ac:dyDescent="0.35">
      <c r="A17">
        <v>500</v>
      </c>
      <c r="B17">
        <v>-654521.1</v>
      </c>
      <c r="C17">
        <v>-1474046.4</v>
      </c>
      <c r="D17" s="2">
        <v>507.54</v>
      </c>
      <c r="E17" s="2">
        <v>3.8482000000000002E+99</v>
      </c>
      <c r="F17" s="2"/>
      <c r="G17" s="2"/>
      <c r="I17">
        <v>700</v>
      </c>
      <c r="J17">
        <v>-1682405.6</v>
      </c>
    </row>
    <row r="18" spans="1:10" x14ac:dyDescent="0.35">
      <c r="A18">
        <v>600</v>
      </c>
      <c r="B18">
        <v>-671097.3</v>
      </c>
      <c r="C18">
        <v>-1578939.1</v>
      </c>
      <c r="D18" s="2">
        <v>573.19000000000005</v>
      </c>
      <c r="E18" s="2">
        <v>2.8499E+94</v>
      </c>
      <c r="F18" s="2"/>
      <c r="G18" s="2"/>
      <c r="I18">
        <v>800</v>
      </c>
      <c r="J18">
        <v>-1785799.6</v>
      </c>
    </row>
    <row r="19" spans="1:10" x14ac:dyDescent="0.35">
      <c r="A19">
        <v>700</v>
      </c>
      <c r="B19">
        <v>-678192.2</v>
      </c>
      <c r="C19">
        <v>-1682405.6</v>
      </c>
      <c r="D19" s="2">
        <v>638.84</v>
      </c>
      <c r="E19" s="2">
        <v>2.0056E+90</v>
      </c>
      <c r="F19" s="2"/>
      <c r="G19" s="2"/>
      <c r="I19">
        <v>900</v>
      </c>
      <c r="J19">
        <v>-1888805</v>
      </c>
    </row>
    <row r="20" spans="1:10" x14ac:dyDescent="0.35">
      <c r="A20">
        <v>800</v>
      </c>
      <c r="B20">
        <v>-675036</v>
      </c>
      <c r="C20">
        <v>-1785799.6</v>
      </c>
      <c r="D20" s="2">
        <v>704.48</v>
      </c>
      <c r="E20" s="2">
        <v>8.3185000000000004E+86</v>
      </c>
      <c r="F20" s="2"/>
      <c r="G20" s="2"/>
      <c r="I20">
        <v>911.66</v>
      </c>
      <c r="J20">
        <v>-1900735.6</v>
      </c>
    </row>
    <row r="21" spans="1:10" x14ac:dyDescent="0.35">
      <c r="A21">
        <v>900</v>
      </c>
      <c r="B21">
        <v>-687879.7</v>
      </c>
      <c r="C21">
        <v>-1888805</v>
      </c>
      <c r="D21" s="2">
        <v>770.13</v>
      </c>
      <c r="E21" s="2">
        <v>1.2506999999999999E+84</v>
      </c>
      <c r="F21" s="2"/>
      <c r="G21" s="2"/>
      <c r="I21">
        <v>911.66</v>
      </c>
      <c r="J21">
        <v>-1900735.6</v>
      </c>
    </row>
    <row r="22" spans="1:10" x14ac:dyDescent="0.35">
      <c r="A22">
        <v>911.66</v>
      </c>
      <c r="B22">
        <v>-689932.9</v>
      </c>
      <c r="C22">
        <v>-1900735.6</v>
      </c>
      <c r="D22" s="2">
        <v>777.79</v>
      </c>
      <c r="E22" s="2">
        <v>6.2398E+83</v>
      </c>
      <c r="F22" s="2"/>
      <c r="G22" s="2"/>
      <c r="I22">
        <v>974.85</v>
      </c>
      <c r="J22">
        <v>-1965671.2</v>
      </c>
    </row>
    <row r="23" spans="1:10" x14ac:dyDescent="0.35">
      <c r="A23" t="s">
        <v>21</v>
      </c>
      <c r="B23" t="s">
        <v>34</v>
      </c>
      <c r="C23" t="s">
        <v>35</v>
      </c>
      <c r="D23" s="2" t="s">
        <v>37</v>
      </c>
      <c r="F23" s="2"/>
      <c r="G23" s="2"/>
      <c r="I23">
        <v>974.85</v>
      </c>
      <c r="J23">
        <v>-1965671.2</v>
      </c>
    </row>
    <row r="24" spans="1:10" x14ac:dyDescent="0.35">
      <c r="A24" t="s">
        <v>22</v>
      </c>
      <c r="B24" t="s">
        <v>38</v>
      </c>
      <c r="C24" t="s">
        <v>13</v>
      </c>
      <c r="D24" s="2" t="s">
        <v>3</v>
      </c>
      <c r="F24" s="2"/>
      <c r="G24" s="2"/>
      <c r="I24">
        <v>1000</v>
      </c>
      <c r="J24">
        <v>-1975916</v>
      </c>
    </row>
    <row r="25" spans="1:10" x14ac:dyDescent="0.35">
      <c r="A25">
        <v>911.66</v>
      </c>
      <c r="B25">
        <v>-673727.1</v>
      </c>
      <c r="C25">
        <v>-1900735.6</v>
      </c>
      <c r="D25" s="2">
        <v>777.79</v>
      </c>
      <c r="E25" s="2">
        <v>6.2398E+83</v>
      </c>
      <c r="F25" s="2"/>
      <c r="G25" s="2"/>
    </row>
    <row r="26" spans="1:10" x14ac:dyDescent="0.35">
      <c r="A26">
        <v>974.85</v>
      </c>
      <c r="B26">
        <v>-692768.9</v>
      </c>
      <c r="C26">
        <v>-1965671.2</v>
      </c>
      <c r="D26" s="2">
        <v>819.27</v>
      </c>
      <c r="E26" t="s">
        <v>23</v>
      </c>
      <c r="F26" s="2"/>
      <c r="G26" s="2"/>
    </row>
    <row r="27" spans="1:10" x14ac:dyDescent="0.35">
      <c r="A27" t="s">
        <v>21</v>
      </c>
      <c r="B27" t="s">
        <v>34</v>
      </c>
      <c r="C27" t="s">
        <v>39</v>
      </c>
      <c r="D27" t="s">
        <v>37</v>
      </c>
    </row>
    <row r="28" spans="1:10" x14ac:dyDescent="0.35">
      <c r="A28" t="s">
        <v>24</v>
      </c>
      <c r="B28" t="s">
        <v>40</v>
      </c>
      <c r="C28" t="s">
        <v>13</v>
      </c>
      <c r="D28" t="s">
        <v>3</v>
      </c>
    </row>
    <row r="29" spans="1:10" x14ac:dyDescent="0.35">
      <c r="A29">
        <v>974.85</v>
      </c>
      <c r="B29">
        <v>-1451582.7</v>
      </c>
      <c r="C29">
        <v>-1965671.2</v>
      </c>
      <c r="D29" s="2">
        <v>819.27</v>
      </c>
      <c r="E29" s="2">
        <v>1.8642000000000001E+82</v>
      </c>
    </row>
    <row r="30" spans="1:10" x14ac:dyDescent="0.35">
      <c r="A30">
        <v>1000</v>
      </c>
      <c r="B30">
        <v>-1463094.1</v>
      </c>
      <c r="C30">
        <v>-1975916</v>
      </c>
      <c r="D30" s="2">
        <v>835.78</v>
      </c>
      <c r="E30" s="2">
        <v>1.163E+81</v>
      </c>
    </row>
    <row r="31" spans="1:10" x14ac:dyDescent="0.35">
      <c r="A31" t="s">
        <v>12</v>
      </c>
      <c r="B31" t="s">
        <v>2</v>
      </c>
      <c r="C31" t="s">
        <v>10</v>
      </c>
      <c r="D31" t="s">
        <v>2</v>
      </c>
      <c r="E3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1817-D6A6-414A-B2A6-A41D18B9F12D}">
  <dimension ref="A1:U16"/>
  <sheetViews>
    <sheetView tabSelected="1" zoomScale="175" zoomScaleNormal="175" workbookViewId="0">
      <selection activeCell="C8" sqref="C8"/>
    </sheetView>
  </sheetViews>
  <sheetFormatPr defaultRowHeight="14.5" x14ac:dyDescent="0.35"/>
  <cols>
    <col min="1" max="1" width="20.54296875" customWidth="1"/>
    <col min="2" max="3" width="13.1796875" customWidth="1"/>
    <col min="4" max="4" width="17.26953125" customWidth="1"/>
    <col min="5" max="6" width="34.81640625" customWidth="1"/>
    <col min="7" max="7" width="18.7265625" customWidth="1"/>
    <col min="8" max="8" width="17.90625" customWidth="1"/>
    <col min="17" max="18" width="11.81640625" customWidth="1"/>
  </cols>
  <sheetData>
    <row r="1" spans="1:21" x14ac:dyDescent="0.35">
      <c r="A1" t="s">
        <v>4</v>
      </c>
      <c r="B1" t="s">
        <v>5</v>
      </c>
      <c r="D1" t="s">
        <v>4</v>
      </c>
      <c r="E1" t="s">
        <v>6</v>
      </c>
      <c r="G1" t="s">
        <v>4</v>
      </c>
      <c r="H1" t="s">
        <v>7</v>
      </c>
      <c r="K1" t="s">
        <v>11</v>
      </c>
      <c r="N1" t="s">
        <v>16</v>
      </c>
      <c r="Q1" t="s">
        <v>41</v>
      </c>
      <c r="T1" t="s">
        <v>42</v>
      </c>
    </row>
    <row r="2" spans="1:21" x14ac:dyDescent="0.35">
      <c r="A2">
        <v>100</v>
      </c>
      <c r="B2">
        <v>-116096.2</v>
      </c>
      <c r="D2">
        <v>100</v>
      </c>
      <c r="E2">
        <v>-40085</v>
      </c>
      <c r="G2">
        <v>100</v>
      </c>
      <c r="H2">
        <v>-89686.7</v>
      </c>
      <c r="J2">
        <v>100</v>
      </c>
      <c r="K2">
        <v>-732714.2</v>
      </c>
      <c r="M2">
        <v>100</v>
      </c>
      <c r="N2">
        <v>-34148.5</v>
      </c>
      <c r="P2">
        <v>100</v>
      </c>
      <c r="Q2">
        <v>-1173749.3</v>
      </c>
      <c r="S2" s="3">
        <v>0</v>
      </c>
      <c r="T2">
        <v>-177766.59904238806</v>
      </c>
    </row>
    <row r="3" spans="1:21" x14ac:dyDescent="0.35">
      <c r="A3">
        <v>200</v>
      </c>
      <c r="B3">
        <v>-98946.5</v>
      </c>
      <c r="D3">
        <v>200</v>
      </c>
      <c r="E3">
        <v>-22935.3</v>
      </c>
      <c r="G3">
        <v>200</v>
      </c>
      <c r="H3">
        <v>-72537</v>
      </c>
      <c r="J3">
        <v>200</v>
      </c>
      <c r="K3">
        <v>-764380.1</v>
      </c>
      <c r="M3">
        <v>200</v>
      </c>
      <c r="N3">
        <v>-119137.2</v>
      </c>
      <c r="P3">
        <v>200</v>
      </c>
      <c r="Q3">
        <v>-1209142.8</v>
      </c>
      <c r="S3" s="3">
        <v>100</v>
      </c>
      <c r="T3">
        <v>-179851.58481065781</v>
      </c>
    </row>
    <row r="4" spans="1:21" x14ac:dyDescent="0.35">
      <c r="A4">
        <v>300</v>
      </c>
      <c r="B4">
        <v>-82214.100000000006</v>
      </c>
      <c r="D4">
        <v>300</v>
      </c>
      <c r="E4">
        <v>-6202.9</v>
      </c>
      <c r="G4">
        <v>300</v>
      </c>
      <c r="H4">
        <v>-55804.7</v>
      </c>
      <c r="J4">
        <v>300</v>
      </c>
      <c r="K4">
        <v>-790559.3</v>
      </c>
      <c r="M4">
        <v>284.45</v>
      </c>
      <c r="N4">
        <v>-188247.5</v>
      </c>
      <c r="P4">
        <v>284.45</v>
      </c>
      <c r="Q4">
        <v>-1238108.3999999999</v>
      </c>
      <c r="S4" s="3">
        <v>200</v>
      </c>
      <c r="T4">
        <v>-175957.33768650764</v>
      </c>
    </row>
    <row r="5" spans="1:21" x14ac:dyDescent="0.35">
      <c r="A5">
        <v>400</v>
      </c>
      <c r="B5">
        <v>-65851.7</v>
      </c>
      <c r="D5">
        <v>400</v>
      </c>
      <c r="E5">
        <v>10159.5</v>
      </c>
      <c r="G5">
        <v>400</v>
      </c>
      <c r="H5">
        <v>-39442.300000000003</v>
      </c>
      <c r="J5">
        <v>400</v>
      </c>
      <c r="K5">
        <v>-812381.7</v>
      </c>
      <c r="M5">
        <v>284.45</v>
      </c>
      <c r="N5">
        <v>-188247.5</v>
      </c>
      <c r="P5">
        <v>300</v>
      </c>
      <c r="Q5">
        <v>-1255722</v>
      </c>
      <c r="S5" s="3">
        <v>300</v>
      </c>
      <c r="T5">
        <v>-167148.2582706385</v>
      </c>
    </row>
    <row r="6" spans="1:21" x14ac:dyDescent="0.35">
      <c r="A6">
        <v>500</v>
      </c>
      <c r="B6">
        <v>-49838.9</v>
      </c>
      <c r="D6">
        <v>500</v>
      </c>
      <c r="E6">
        <v>26172.3</v>
      </c>
      <c r="G6">
        <v>500</v>
      </c>
      <c r="H6">
        <v>-23429.4</v>
      </c>
      <c r="J6">
        <v>500</v>
      </c>
      <c r="K6">
        <v>-830605.3</v>
      </c>
      <c r="M6">
        <v>300</v>
      </c>
      <c r="N6">
        <v>-190853.3</v>
      </c>
      <c r="P6">
        <v>400</v>
      </c>
      <c r="Q6">
        <v>-1366611</v>
      </c>
      <c r="S6" s="3">
        <v>400</v>
      </c>
      <c r="T6">
        <v>-154158.06540765075</v>
      </c>
    </row>
    <row r="7" spans="1:21" x14ac:dyDescent="0.35">
      <c r="A7">
        <v>600</v>
      </c>
      <c r="B7">
        <v>-34169.1</v>
      </c>
      <c r="D7">
        <v>600</v>
      </c>
      <c r="E7">
        <v>41842.1</v>
      </c>
      <c r="G7">
        <v>560</v>
      </c>
      <c r="H7">
        <v>-13986.5</v>
      </c>
      <c r="J7">
        <v>600</v>
      </c>
      <c r="K7">
        <v>-845759.3</v>
      </c>
      <c r="M7">
        <v>400</v>
      </c>
      <c r="N7">
        <v>-207510.8</v>
      </c>
      <c r="P7">
        <v>500</v>
      </c>
      <c r="Q7">
        <v>-1474046.4</v>
      </c>
      <c r="S7" s="3">
        <v>500</v>
      </c>
      <c r="T7">
        <v>-137559.14817763236</v>
      </c>
    </row>
    <row r="8" spans="1:21" x14ac:dyDescent="0.35">
      <c r="A8">
        <v>700</v>
      </c>
      <c r="B8">
        <v>-18843</v>
      </c>
      <c r="C8">
        <f>AVERAGE(B8,B9)/1000</f>
        <v>-11.3538</v>
      </c>
      <c r="D8">
        <v>700</v>
      </c>
      <c r="E8">
        <v>57168.2</v>
      </c>
      <c r="F8">
        <f>AVERAGE(E8,E9)/1000</f>
        <v>64.657399999999996</v>
      </c>
      <c r="G8">
        <v>560</v>
      </c>
      <c r="H8">
        <v>-13986.5</v>
      </c>
      <c r="J8">
        <v>700</v>
      </c>
      <c r="K8">
        <v>-858236.1</v>
      </c>
      <c r="L8">
        <f>AVERAGE(K8,K9)/1000</f>
        <v>-863.28594999999996</v>
      </c>
      <c r="M8">
        <v>500</v>
      </c>
      <c r="N8">
        <v>-224034.5</v>
      </c>
      <c r="P8">
        <v>600</v>
      </c>
      <c r="Q8">
        <v>-1578939.1</v>
      </c>
      <c r="S8" s="3">
        <v>600</v>
      </c>
      <c r="T8">
        <v>-117818.38107416</v>
      </c>
    </row>
    <row r="9" spans="1:21" x14ac:dyDescent="0.35">
      <c r="A9">
        <v>800</v>
      </c>
      <c r="B9">
        <v>-3864.6</v>
      </c>
      <c r="D9">
        <v>800</v>
      </c>
      <c r="E9">
        <v>72146.600000000006</v>
      </c>
      <c r="G9">
        <v>600</v>
      </c>
      <c r="H9">
        <v>-10069.700000000001</v>
      </c>
      <c r="J9">
        <v>800</v>
      </c>
      <c r="K9">
        <v>-868335.8</v>
      </c>
      <c r="M9">
        <v>600</v>
      </c>
      <c r="N9">
        <v>-240451.3</v>
      </c>
      <c r="P9">
        <v>700</v>
      </c>
      <c r="Q9">
        <v>-1682405.6</v>
      </c>
      <c r="R9">
        <f>AVERAGE(Q9,Q10)/1000</f>
        <v>-1734.1026000000002</v>
      </c>
      <c r="S9" s="3">
        <v>700</v>
      </c>
      <c r="T9">
        <v>-95351.469364676697</v>
      </c>
      <c r="U9">
        <f>AVERAGE(T9,T10)/1000</f>
        <v>-82.950156496470441</v>
      </c>
    </row>
    <row r="10" spans="1:21" x14ac:dyDescent="0.35">
      <c r="A10">
        <v>856.85</v>
      </c>
      <c r="B10">
        <v>4493.5</v>
      </c>
      <c r="D10">
        <v>848.15</v>
      </c>
      <c r="E10">
        <v>79233.100000000006</v>
      </c>
      <c r="G10">
        <v>700</v>
      </c>
      <c r="H10">
        <v>-518.79999999999995</v>
      </c>
      <c r="I10">
        <f>AVERAGE(H10,H11)/1000</f>
        <v>4.0827999999999998</v>
      </c>
      <c r="J10">
        <v>900</v>
      </c>
      <c r="K10">
        <v>-876293</v>
      </c>
      <c r="M10">
        <v>700</v>
      </c>
      <c r="N10">
        <v>-256776.3</v>
      </c>
      <c r="O10">
        <f>AVERAGE(N10,N11)/1000</f>
        <v>-264.8974</v>
      </c>
      <c r="P10">
        <v>800</v>
      </c>
      <c r="Q10">
        <v>-1785799.6</v>
      </c>
      <c r="S10" s="3">
        <v>800.00000000000011</v>
      </c>
      <c r="T10">
        <v>-70548.843628264178</v>
      </c>
    </row>
    <row r="11" spans="1:21" x14ac:dyDescent="0.35">
      <c r="A11">
        <v>856.85</v>
      </c>
      <c r="B11">
        <v>4493.5</v>
      </c>
      <c r="D11">
        <v>848.15</v>
      </c>
      <c r="E11">
        <v>79233.100000000006</v>
      </c>
      <c r="G11">
        <v>800</v>
      </c>
      <c r="H11">
        <v>8684.4</v>
      </c>
      <c r="J11">
        <v>1000</v>
      </c>
      <c r="K11">
        <v>-882299.1</v>
      </c>
      <c r="M11">
        <v>800</v>
      </c>
      <c r="N11">
        <v>-273018.5</v>
      </c>
      <c r="P11">
        <v>900</v>
      </c>
      <c r="Q11">
        <v>-1888805</v>
      </c>
      <c r="S11" s="3">
        <v>900.00000000000011</v>
      </c>
      <c r="T11">
        <v>-41473.097153785428</v>
      </c>
    </row>
    <row r="12" spans="1:21" x14ac:dyDescent="0.35">
      <c r="A12">
        <v>900</v>
      </c>
      <c r="B12">
        <v>12924.7</v>
      </c>
      <c r="D12">
        <v>900</v>
      </c>
      <c r="E12">
        <v>89291.8</v>
      </c>
      <c r="G12">
        <v>900</v>
      </c>
      <c r="H12">
        <v>17534.400000000001</v>
      </c>
      <c r="M12">
        <v>900</v>
      </c>
      <c r="N12">
        <v>-289183.2</v>
      </c>
      <c r="P12">
        <v>911.66</v>
      </c>
      <c r="Q12">
        <v>-1900735.6</v>
      </c>
      <c r="S12" s="3">
        <v>1000.0000000000001</v>
      </c>
      <c r="T12">
        <v>-3450.7581830236131</v>
      </c>
    </row>
    <row r="13" spans="1:21" x14ac:dyDescent="0.35">
      <c r="A13">
        <v>1000</v>
      </c>
      <c r="B13">
        <v>32251.3</v>
      </c>
      <c r="D13">
        <v>1000</v>
      </c>
      <c r="E13">
        <v>108432.8</v>
      </c>
      <c r="G13">
        <v>995.85</v>
      </c>
      <c r="H13">
        <v>25679.9</v>
      </c>
      <c r="M13">
        <v>1000</v>
      </c>
      <c r="N13">
        <v>-305274.8</v>
      </c>
      <c r="P13">
        <v>911.66</v>
      </c>
      <c r="Q13">
        <v>-1900735.6</v>
      </c>
    </row>
    <row r="14" spans="1:21" x14ac:dyDescent="0.35">
      <c r="G14">
        <v>995.85</v>
      </c>
      <c r="H14">
        <v>25679.9</v>
      </c>
      <c r="P14">
        <v>974.85</v>
      </c>
      <c r="Q14">
        <v>-1965671.2</v>
      </c>
    </row>
    <row r="15" spans="1:21" x14ac:dyDescent="0.35">
      <c r="G15">
        <v>1000</v>
      </c>
      <c r="H15">
        <v>26243.200000000001</v>
      </c>
      <c r="P15">
        <v>974.85</v>
      </c>
      <c r="Q15">
        <v>-1965671.2</v>
      </c>
    </row>
    <row r="16" spans="1:21" x14ac:dyDescent="0.35">
      <c r="P16">
        <v>1000</v>
      </c>
      <c r="Q16">
        <v>-1975916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6908-F6B5-4C51-945C-DAEFFFA1417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Processed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2025-09-22T00:17:03Z</dcterms:created>
  <dcterms:modified xsi:type="dcterms:W3CDTF">2026-03-05T02:10:57Z</dcterms:modified>
</cp:coreProperties>
</file>