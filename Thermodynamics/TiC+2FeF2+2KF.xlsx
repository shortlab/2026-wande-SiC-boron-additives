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IT Dropbox\Wande Cairang\MIT research\SiC RAC\Insaco SiC\Thermodynamics\"/>
    </mc:Choice>
  </mc:AlternateContent>
  <xr:revisionPtr revIDLastSave="0" documentId="13_ncr:1_{8A932269-F625-4936-8CA8-E0E0248C51BD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Series" sheetId="1" r:id="rId1"/>
    <sheet name="X Errors Negative" sheetId="2" state="hidden" r:id="rId2"/>
    <sheet name="X Errors Positive" sheetId="3" state="hidden" r:id="rId3"/>
    <sheet name="Y Errors Negative" sheetId="4" state="hidden" r:id="rId4"/>
    <sheet name="Y Errors Positive" sheetId="5" state="hidden" r:id="rId5"/>
    <sheet name="Regression" sheetId="6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C6" i="1"/>
  <c r="C7" i="1"/>
  <c r="C8" i="1"/>
  <c r="C9" i="1"/>
  <c r="C10" i="1"/>
  <c r="C11" i="1"/>
  <c r="C12" i="1"/>
  <c r="C13" i="1"/>
  <c r="C14" i="1"/>
  <c r="C5" i="1"/>
</calcChain>
</file>

<file path=xl/sharedStrings.xml><?xml version="1.0" encoding="utf-8"?>
<sst xmlns="http://schemas.openxmlformats.org/spreadsheetml/2006/main" count="68" uniqueCount="7">
  <si>
    <t>Equation</t>
  </si>
  <si>
    <t>Reaction Gibbs free energy</t>
  </si>
  <si>
    <t>T (°C)</t>
  </si>
  <si>
    <t>ΔG (kJ)</t>
  </si>
  <si>
    <t>R2</t>
  </si>
  <si>
    <t>0</t>
  </si>
  <si>
    <t>TiC(s) + 2FeF2 + 2KF = K2TiF6 + 2Fe +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</si>
</sst>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quotePrefix="1"/>
    <xf numFmtId="0" fontId="0" fillId="0" borderId="4" xfId="0" applyBorder="1"/>
    <xf numFmtId="0" fontId="0" fillId="0" borderId="0" xfId="0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5"/>
  <sheetViews>
    <sheetView tabSelected="1" zoomScale="220" zoomScaleNormal="220" workbookViewId="0">
      <selection activeCell="C5" activeCellId="1" sqref="A5:A15 C5:C15"/>
    </sheetView>
  </sheetViews>
  <sheetFormatPr defaultRowHeight="14.5" x14ac:dyDescent="0.35"/>
  <cols>
    <col min="1" max="1" width="5.26953125" bestFit="1" customWidth="1"/>
    <col min="2" max="2" width="12.08984375" bestFit="1" customWidth="1"/>
  </cols>
  <sheetData>
    <row r="2" spans="1:3" x14ac:dyDescent="0.35">
      <c r="A2" t="s">
        <v>1</v>
      </c>
    </row>
    <row r="3" spans="1:3" x14ac:dyDescent="0.35">
      <c r="A3" s="6" t="s">
        <v>6</v>
      </c>
      <c r="B3" s="6"/>
    </row>
    <row r="4" spans="1:3" x14ac:dyDescent="0.35">
      <c r="A4" s="2" t="s">
        <v>2</v>
      </c>
      <c r="B4" s="1" t="s">
        <v>3</v>
      </c>
    </row>
    <row r="5" spans="1:3" x14ac:dyDescent="0.35">
      <c r="A5" s="3">
        <v>0</v>
      </c>
      <c r="B5">
        <v>-177.76659904238807</v>
      </c>
      <c r="C5">
        <f>B5*1000</f>
        <v>-177766.59904238806</v>
      </c>
    </row>
    <row r="6" spans="1:3" x14ac:dyDescent="0.35">
      <c r="A6" s="3">
        <v>100</v>
      </c>
      <c r="B6">
        <v>-179.85158481065781</v>
      </c>
      <c r="C6">
        <f t="shared" ref="C6:C14" si="0">B6*1000</f>
        <v>-179851.58481065781</v>
      </c>
    </row>
    <row r="7" spans="1:3" x14ac:dyDescent="0.35">
      <c r="A7" s="3">
        <v>200</v>
      </c>
      <c r="B7">
        <v>-175.95733768650766</v>
      </c>
      <c r="C7">
        <f t="shared" si="0"/>
        <v>-175957.33768650764</v>
      </c>
    </row>
    <row r="8" spans="1:3" x14ac:dyDescent="0.35">
      <c r="A8" s="3">
        <v>300</v>
      </c>
      <c r="B8">
        <v>-167.14825827063851</v>
      </c>
      <c r="C8">
        <f t="shared" si="0"/>
        <v>-167148.2582706385</v>
      </c>
    </row>
    <row r="9" spans="1:3" x14ac:dyDescent="0.35">
      <c r="A9" s="3">
        <v>400</v>
      </c>
      <c r="B9">
        <v>-154.15806540765075</v>
      </c>
      <c r="C9">
        <f t="shared" si="0"/>
        <v>-154158.06540765075</v>
      </c>
    </row>
    <row r="10" spans="1:3" x14ac:dyDescent="0.35">
      <c r="A10" s="3">
        <v>500</v>
      </c>
      <c r="B10">
        <v>-137.55914817763235</v>
      </c>
      <c r="C10">
        <f t="shared" si="0"/>
        <v>-137559.14817763236</v>
      </c>
    </row>
    <row r="11" spans="1:3" x14ac:dyDescent="0.35">
      <c r="A11" s="3">
        <v>600</v>
      </c>
      <c r="B11">
        <v>-117.8183810741605</v>
      </c>
      <c r="C11">
        <f t="shared" si="0"/>
        <v>-117818.3810741605</v>
      </c>
    </row>
    <row r="12" spans="1:3" x14ac:dyDescent="0.35">
      <c r="A12" s="3">
        <v>700</v>
      </c>
      <c r="B12">
        <v>-95.351469364676717</v>
      </c>
      <c r="C12">
        <f t="shared" si="0"/>
        <v>-95351.469364676712</v>
      </c>
    </row>
    <row r="13" spans="1:3" x14ac:dyDescent="0.35">
      <c r="A13" s="3">
        <v>800.00000000000011</v>
      </c>
      <c r="B13">
        <v>-70.54884362826418</v>
      </c>
      <c r="C13">
        <f t="shared" si="0"/>
        <v>-70548.843628264178</v>
      </c>
    </row>
    <row r="14" spans="1:3" x14ac:dyDescent="0.35">
      <c r="A14" s="3">
        <v>900.00000000000011</v>
      </c>
      <c r="B14">
        <v>-41.473097153785424</v>
      </c>
      <c r="C14">
        <f t="shared" si="0"/>
        <v>-41473.097153785428</v>
      </c>
    </row>
    <row r="15" spans="1:3" x14ac:dyDescent="0.35">
      <c r="A15" s="3">
        <v>1000.0000000000001</v>
      </c>
      <c r="B15">
        <v>-3.4507581830236131</v>
      </c>
      <c r="C15">
        <f>B15*1000</f>
        <v>-3450.7581830236131</v>
      </c>
    </row>
  </sheetData>
  <mergeCells count="1"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15"/>
  <sheetViews>
    <sheetView workbookViewId="0"/>
  </sheetViews>
  <sheetFormatPr defaultRowHeight="14.5" x14ac:dyDescent="0.35"/>
  <cols>
    <col min="1" max="1" width="5.26953125" bestFit="1" customWidth="1"/>
    <col min="2" max="2" width="6.54296875" bestFit="1" customWidth="1"/>
  </cols>
  <sheetData>
    <row r="2" spans="1:2" x14ac:dyDescent="0.35">
      <c r="A2" t="s">
        <v>1</v>
      </c>
    </row>
    <row r="3" spans="1:2" x14ac:dyDescent="0.35">
      <c r="A3" s="6" t="s">
        <v>6</v>
      </c>
      <c r="B3" s="6"/>
    </row>
    <row r="4" spans="1:2" x14ac:dyDescent="0.35">
      <c r="A4" s="2" t="s">
        <v>2</v>
      </c>
      <c r="B4" s="1" t="s">
        <v>3</v>
      </c>
    </row>
    <row r="5" spans="1:2" x14ac:dyDescent="0.35">
      <c r="A5" s="3">
        <v>0</v>
      </c>
      <c r="B5" s="4" t="s">
        <v>5</v>
      </c>
    </row>
    <row r="6" spans="1:2" x14ac:dyDescent="0.35">
      <c r="A6" s="3">
        <v>100</v>
      </c>
      <c r="B6" s="4" t="s">
        <v>5</v>
      </c>
    </row>
    <row r="7" spans="1:2" x14ac:dyDescent="0.35">
      <c r="A7" s="3">
        <v>200</v>
      </c>
      <c r="B7" s="4" t="s">
        <v>5</v>
      </c>
    </row>
    <row r="8" spans="1:2" x14ac:dyDescent="0.35">
      <c r="A8" s="3">
        <v>300</v>
      </c>
      <c r="B8" s="4" t="s">
        <v>5</v>
      </c>
    </row>
    <row r="9" spans="1:2" x14ac:dyDescent="0.35">
      <c r="A9" s="3">
        <v>400</v>
      </c>
      <c r="B9" s="4" t="s">
        <v>5</v>
      </c>
    </row>
    <row r="10" spans="1:2" x14ac:dyDescent="0.35">
      <c r="A10" s="3">
        <v>500</v>
      </c>
      <c r="B10" s="4" t="s">
        <v>5</v>
      </c>
    </row>
    <row r="11" spans="1:2" x14ac:dyDescent="0.35">
      <c r="A11" s="3">
        <v>600</v>
      </c>
      <c r="B11" s="4" t="s">
        <v>5</v>
      </c>
    </row>
    <row r="12" spans="1:2" x14ac:dyDescent="0.35">
      <c r="A12" s="3">
        <v>700</v>
      </c>
      <c r="B12" s="4" t="s">
        <v>5</v>
      </c>
    </row>
    <row r="13" spans="1:2" x14ac:dyDescent="0.35">
      <c r="A13" s="3">
        <v>800.00000000000011</v>
      </c>
      <c r="B13" s="4" t="s">
        <v>5</v>
      </c>
    </row>
    <row r="14" spans="1:2" x14ac:dyDescent="0.35">
      <c r="A14" s="3">
        <v>900.00000000000011</v>
      </c>
      <c r="B14" s="4" t="s">
        <v>5</v>
      </c>
    </row>
    <row r="15" spans="1:2" x14ac:dyDescent="0.35">
      <c r="A15" s="3">
        <v>1000.0000000000001</v>
      </c>
      <c r="B15" s="4" t="s">
        <v>5</v>
      </c>
    </row>
  </sheetData>
  <mergeCells count="1">
    <mergeCell ref="A3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15"/>
  <sheetViews>
    <sheetView workbookViewId="0"/>
  </sheetViews>
  <sheetFormatPr defaultRowHeight="14.5" x14ac:dyDescent="0.35"/>
  <cols>
    <col min="1" max="1" width="5.26953125" bestFit="1" customWidth="1"/>
    <col min="2" max="2" width="6.54296875" bestFit="1" customWidth="1"/>
  </cols>
  <sheetData>
    <row r="2" spans="1:2" x14ac:dyDescent="0.35">
      <c r="A2" t="s">
        <v>1</v>
      </c>
    </row>
    <row r="3" spans="1:2" x14ac:dyDescent="0.35">
      <c r="A3" s="6" t="s">
        <v>6</v>
      </c>
      <c r="B3" s="6"/>
    </row>
    <row r="4" spans="1:2" x14ac:dyDescent="0.35">
      <c r="A4" s="2" t="s">
        <v>2</v>
      </c>
      <c r="B4" s="1" t="s">
        <v>3</v>
      </c>
    </row>
    <row r="5" spans="1:2" x14ac:dyDescent="0.35">
      <c r="A5" s="3">
        <v>0</v>
      </c>
      <c r="B5" s="4" t="s">
        <v>5</v>
      </c>
    </row>
    <row r="6" spans="1:2" x14ac:dyDescent="0.35">
      <c r="A6" s="3">
        <v>100</v>
      </c>
      <c r="B6" s="4" t="s">
        <v>5</v>
      </c>
    </row>
    <row r="7" spans="1:2" x14ac:dyDescent="0.35">
      <c r="A7" s="3">
        <v>200</v>
      </c>
      <c r="B7" s="4" t="s">
        <v>5</v>
      </c>
    </row>
    <row r="8" spans="1:2" x14ac:dyDescent="0.35">
      <c r="A8" s="3">
        <v>300</v>
      </c>
      <c r="B8" s="4" t="s">
        <v>5</v>
      </c>
    </row>
    <row r="9" spans="1:2" x14ac:dyDescent="0.35">
      <c r="A9" s="3">
        <v>400</v>
      </c>
      <c r="B9" s="4" t="s">
        <v>5</v>
      </c>
    </row>
    <row r="10" spans="1:2" x14ac:dyDescent="0.35">
      <c r="A10" s="3">
        <v>500</v>
      </c>
      <c r="B10" s="4" t="s">
        <v>5</v>
      </c>
    </row>
    <row r="11" spans="1:2" x14ac:dyDescent="0.35">
      <c r="A11" s="3">
        <v>600</v>
      </c>
      <c r="B11" s="4" t="s">
        <v>5</v>
      </c>
    </row>
    <row r="12" spans="1:2" x14ac:dyDescent="0.35">
      <c r="A12" s="3">
        <v>700</v>
      </c>
      <c r="B12" s="4" t="s">
        <v>5</v>
      </c>
    </row>
    <row r="13" spans="1:2" x14ac:dyDescent="0.35">
      <c r="A13" s="3">
        <v>800.00000000000011</v>
      </c>
      <c r="B13" s="4" t="s">
        <v>5</v>
      </c>
    </row>
    <row r="14" spans="1:2" x14ac:dyDescent="0.35">
      <c r="A14" s="3">
        <v>900.00000000000011</v>
      </c>
      <c r="B14" s="4" t="s">
        <v>5</v>
      </c>
    </row>
    <row r="15" spans="1:2" x14ac:dyDescent="0.35">
      <c r="A15" s="3">
        <v>1000.0000000000001</v>
      </c>
      <c r="B15" s="4" t="s">
        <v>5</v>
      </c>
    </row>
  </sheetData>
  <mergeCells count="1">
    <mergeCell ref="A3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15"/>
  <sheetViews>
    <sheetView workbookViewId="0"/>
  </sheetViews>
  <sheetFormatPr defaultRowHeight="14.5" x14ac:dyDescent="0.35"/>
  <cols>
    <col min="1" max="1" width="5.26953125" bestFit="1" customWidth="1"/>
    <col min="2" max="2" width="6.54296875" bestFit="1" customWidth="1"/>
  </cols>
  <sheetData>
    <row r="2" spans="1:2" x14ac:dyDescent="0.35">
      <c r="A2" t="s">
        <v>1</v>
      </c>
    </row>
    <row r="3" spans="1:2" x14ac:dyDescent="0.35">
      <c r="A3" s="6" t="s">
        <v>6</v>
      </c>
      <c r="B3" s="6"/>
    </row>
    <row r="4" spans="1:2" x14ac:dyDescent="0.35">
      <c r="A4" s="2" t="s">
        <v>2</v>
      </c>
      <c r="B4" s="1" t="s">
        <v>3</v>
      </c>
    </row>
    <row r="5" spans="1:2" x14ac:dyDescent="0.35">
      <c r="A5" s="3">
        <v>0</v>
      </c>
      <c r="B5" s="4" t="s">
        <v>5</v>
      </c>
    </row>
    <row r="6" spans="1:2" x14ac:dyDescent="0.35">
      <c r="A6" s="3">
        <v>100</v>
      </c>
      <c r="B6" s="4" t="s">
        <v>5</v>
      </c>
    </row>
    <row r="7" spans="1:2" x14ac:dyDescent="0.35">
      <c r="A7" s="3">
        <v>200</v>
      </c>
      <c r="B7" s="4" t="s">
        <v>5</v>
      </c>
    </row>
    <row r="8" spans="1:2" x14ac:dyDescent="0.35">
      <c r="A8" s="3">
        <v>300</v>
      </c>
      <c r="B8" s="4" t="s">
        <v>5</v>
      </c>
    </row>
    <row r="9" spans="1:2" x14ac:dyDescent="0.35">
      <c r="A9" s="3">
        <v>400</v>
      </c>
      <c r="B9" s="4" t="s">
        <v>5</v>
      </c>
    </row>
    <row r="10" spans="1:2" x14ac:dyDescent="0.35">
      <c r="A10" s="3">
        <v>500</v>
      </c>
      <c r="B10" s="4" t="s">
        <v>5</v>
      </c>
    </row>
    <row r="11" spans="1:2" x14ac:dyDescent="0.35">
      <c r="A11" s="3">
        <v>600</v>
      </c>
      <c r="B11" s="4" t="s">
        <v>5</v>
      </c>
    </row>
    <row r="12" spans="1:2" x14ac:dyDescent="0.35">
      <c r="A12" s="3">
        <v>700</v>
      </c>
      <c r="B12" s="4" t="s">
        <v>5</v>
      </c>
    </row>
    <row r="13" spans="1:2" x14ac:dyDescent="0.35">
      <c r="A13" s="3">
        <v>800.00000000000011</v>
      </c>
      <c r="B13" s="4" t="s">
        <v>5</v>
      </c>
    </row>
    <row r="14" spans="1:2" x14ac:dyDescent="0.35">
      <c r="A14" s="3">
        <v>900.00000000000011</v>
      </c>
      <c r="B14" s="4" t="s">
        <v>5</v>
      </c>
    </row>
    <row r="15" spans="1:2" x14ac:dyDescent="0.35">
      <c r="A15" s="3">
        <v>1000.0000000000001</v>
      </c>
      <c r="B15" s="4" t="s">
        <v>5</v>
      </c>
    </row>
  </sheetData>
  <mergeCells count="1">
    <mergeCell ref="A3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15"/>
  <sheetViews>
    <sheetView workbookViewId="0"/>
  </sheetViews>
  <sheetFormatPr defaultRowHeight="14.5" x14ac:dyDescent="0.35"/>
  <cols>
    <col min="1" max="1" width="5.26953125" bestFit="1" customWidth="1"/>
    <col min="2" max="2" width="6.54296875" bestFit="1" customWidth="1"/>
  </cols>
  <sheetData>
    <row r="2" spans="1:2" x14ac:dyDescent="0.35">
      <c r="A2" t="s">
        <v>1</v>
      </c>
    </row>
    <row r="3" spans="1:2" x14ac:dyDescent="0.35">
      <c r="A3" s="6" t="s">
        <v>6</v>
      </c>
      <c r="B3" s="6"/>
    </row>
    <row r="4" spans="1:2" x14ac:dyDescent="0.35">
      <c r="A4" s="2" t="s">
        <v>2</v>
      </c>
      <c r="B4" s="1" t="s">
        <v>3</v>
      </c>
    </row>
    <row r="5" spans="1:2" x14ac:dyDescent="0.35">
      <c r="A5" s="3">
        <v>0</v>
      </c>
      <c r="B5" s="4" t="s">
        <v>5</v>
      </c>
    </row>
    <row r="6" spans="1:2" x14ac:dyDescent="0.35">
      <c r="A6" s="3">
        <v>100</v>
      </c>
      <c r="B6" s="4" t="s">
        <v>5</v>
      </c>
    </row>
    <row r="7" spans="1:2" x14ac:dyDescent="0.35">
      <c r="A7" s="3">
        <v>200</v>
      </c>
      <c r="B7" s="4" t="s">
        <v>5</v>
      </c>
    </row>
    <row r="8" spans="1:2" x14ac:dyDescent="0.35">
      <c r="A8" s="3">
        <v>300</v>
      </c>
      <c r="B8" s="4" t="s">
        <v>5</v>
      </c>
    </row>
    <row r="9" spans="1:2" x14ac:dyDescent="0.35">
      <c r="A9" s="3">
        <v>400</v>
      </c>
      <c r="B9" s="4" t="s">
        <v>5</v>
      </c>
    </row>
    <row r="10" spans="1:2" x14ac:dyDescent="0.35">
      <c r="A10" s="3">
        <v>500</v>
      </c>
      <c r="B10" s="4" t="s">
        <v>5</v>
      </c>
    </row>
    <row r="11" spans="1:2" x14ac:dyDescent="0.35">
      <c r="A11" s="3">
        <v>600</v>
      </c>
      <c r="B11" s="4" t="s">
        <v>5</v>
      </c>
    </row>
    <row r="12" spans="1:2" x14ac:dyDescent="0.35">
      <c r="A12" s="3">
        <v>700</v>
      </c>
      <c r="B12" s="4" t="s">
        <v>5</v>
      </c>
    </row>
    <row r="13" spans="1:2" x14ac:dyDescent="0.35">
      <c r="A13" s="3">
        <v>800.00000000000011</v>
      </c>
      <c r="B13" s="4" t="s">
        <v>5</v>
      </c>
    </row>
    <row r="14" spans="1:2" x14ac:dyDescent="0.35">
      <c r="A14" s="3">
        <v>900.00000000000011</v>
      </c>
      <c r="B14" s="4" t="s">
        <v>5</v>
      </c>
    </row>
    <row r="15" spans="1:2" x14ac:dyDescent="0.35">
      <c r="A15" s="3">
        <v>1000.0000000000001</v>
      </c>
      <c r="B15" s="4" t="s">
        <v>5</v>
      </c>
    </row>
  </sheetData>
  <mergeCells count="1">
    <mergeCell ref="A3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B5"/>
  <sheetViews>
    <sheetView workbookViewId="0"/>
  </sheetViews>
  <sheetFormatPr defaultRowHeight="14.5" x14ac:dyDescent="0.35"/>
  <cols>
    <col min="1" max="1" width="8.1796875" bestFit="1" customWidth="1"/>
  </cols>
  <sheetData>
    <row r="2" spans="1:2" x14ac:dyDescent="0.35">
      <c r="A2" t="s">
        <v>1</v>
      </c>
    </row>
    <row r="3" spans="1:2" x14ac:dyDescent="0.35">
      <c r="A3" s="7" t="s">
        <v>6</v>
      </c>
      <c r="B3" s="7"/>
    </row>
    <row r="4" spans="1:2" x14ac:dyDescent="0.35">
      <c r="A4" s="5" t="s">
        <v>0</v>
      </c>
      <c r="B4" s="5"/>
    </row>
    <row r="5" spans="1:2" x14ac:dyDescent="0.35">
      <c r="A5" s="5" t="s">
        <v>4</v>
      </c>
      <c r="B5" s="5"/>
    </row>
  </sheetData>
  <mergeCells count="1"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Series</vt:lpstr>
      <vt:lpstr>X Errors Negative</vt:lpstr>
      <vt:lpstr>X Errors Positive</vt:lpstr>
      <vt:lpstr>Y Errors Negative</vt:lpstr>
      <vt:lpstr>Y Errors Positive</vt:lpstr>
      <vt:lpstr>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Wande Cairang</cp:lastModifiedBy>
  <dcterms:modified xsi:type="dcterms:W3CDTF">2026-01-27T15:17:03Z</dcterms:modified>
</cp:coreProperties>
</file>