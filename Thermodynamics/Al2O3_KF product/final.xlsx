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wande\MIT Dropbox\Wande Cairang\MIT research\SiC RAC\Manuscript\Draft\Submission materials\Revision\FactSage\Al2O3_KF product\"/>
    </mc:Choice>
  </mc:AlternateContent>
  <xr:revisionPtr revIDLastSave="0" documentId="13_ncr:1_{E85D50D0-4D9E-4B28-89D7-23C725D44C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ia 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0" i="1" l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9" i="1"/>
  <c r="AL1" i="1" a="1"/>
  <c r="AL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<sst xmlns="http://schemas.openxmlformats.org/spreadsheetml/2006/main" count="183" uniqueCount="55">
  <si>
    <t>Al2O3</t>
  </si>
  <si>
    <t>Al2O3 -</t>
  </si>
  <si>
    <t>most stable</t>
  </si>
  <si>
    <t>phases</t>
  </si>
  <si>
    <t>FactPS.</t>
  </si>
  <si>
    <t>Units</t>
  </si>
  <si>
    <t>:  K, bar, J</t>
  </si>
  <si>
    <t>, mol</t>
  </si>
  <si>
    <t>Sta</t>
  </si>
  <si>
    <t>ndard sta</t>
  </si>
  <si>
    <t>te: pure so</t>
  </si>
  <si>
    <t>lid, liquid</t>
  </si>
  <si>
    <t>and ideal gas</t>
  </si>
  <si>
    <t>at 1 bar</t>
  </si>
  <si>
    <t>-</t>
  </si>
  <si>
    <t>STANDARD ST</t>
  </si>
  <si>
    <t>ATE PROPERTI</t>
  </si>
  <si>
    <t>ES / MOLE -</t>
  </si>
  <si>
    <t>______</t>
  </si>
  <si>
    <t>________</t>
  </si>
  <si>
    <t>___________</t>
  </si>
  <si>
    <t>Phase</t>
  </si>
  <si>
    <t>T(K)</t>
  </si>
  <si>
    <t>Cp(J/K)</t>
  </si>
  <si>
    <t>H(J)</t>
  </si>
  <si>
    <t>G(J)</t>
  </si>
  <si>
    <t>S(J/K)</t>
  </si>
  <si>
    <t>S4</t>
  </si>
  <si>
    <t>KF (liq)</t>
  </si>
  <si>
    <t>KF</t>
  </si>
  <si>
    <t>Unit</t>
  </si>
  <si>
    <t>s:  K, bar, J,</t>
  </si>
  <si>
    <t>mol</t>
  </si>
  <si>
    <t>te: pure s</t>
  </si>
  <si>
    <t>olid, liquid a</t>
  </si>
  <si>
    <t>nd ideal gas</t>
  </si>
  <si>
    <t>STANDARD S</t>
  </si>
  <si>
    <t>TATE PROPERTIE</t>
  </si>
  <si>
    <t>S / MOLE -</t>
  </si>
  <si>
    <t>L1</t>
  </si>
  <si>
    <t>H-H298(J)</t>
  </si>
  <si>
    <t>KAlO2 -</t>
  </si>
  <si>
    <t>S1</t>
  </si>
  <si>
    <t>S2</t>
  </si>
  <si>
    <t>K3AlF6 -</t>
  </si>
  <si>
    <t>K2Al12O19</t>
  </si>
  <si>
    <t>Units:</t>
  </si>
  <si>
    <t>K, bar, J,</t>
  </si>
  <si>
    <t>te: pure sol</t>
  </si>
  <si>
    <t>id, liquid an</t>
  </si>
  <si>
    <t>d ideal gas</t>
  </si>
  <si>
    <t>STANDARD STA</t>
  </si>
  <si>
    <t>TE PROPERTIES</t>
  </si>
  <si>
    <t>/ MOLE -</t>
  </si>
  <si>
    <t>delta G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</si>
</sst>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'Via individual'!$AP$7:$AP$8</c:f>
              <c:strCache>
                <c:ptCount val="2"/>
                <c:pt idx="0">
                  <c:v>delta G (J)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'Via individual'!$AJ$9:$AJ$30</c:f>
              <c:numCache>
                <c:formatCode>General</c:formatCode>
                <c:ptCount val="22"/>
                <c:pt idx="0">
                  <c:v>298.14999999999998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</c:numCache>
            </c:numRef>
          </c:xVal>
          <c:yVal>
            <c:numRef>
              <c:f>'Via individual'!$AP$9:$AP$30</c:f>
              <c:numCache>
                <c:formatCode>General</c:formatCode>
                <c:ptCount val="22"/>
                <c:pt idx="0">
                  <c:v>-222130.60000000149</c:v>
                </c:pt>
                <c:pt idx="1">
                  <c:v>-222010.30000000261</c:v>
                </c:pt>
                <c:pt idx="2">
                  <c:v>-218265.29999999888</c:v>
                </c:pt>
                <c:pt idx="3">
                  <c:v>-213696</c:v>
                </c:pt>
                <c:pt idx="4">
                  <c:v>-208449.00000000186</c:v>
                </c:pt>
                <c:pt idx="5">
                  <c:v>-202639.90000000037</c:v>
                </c:pt>
                <c:pt idx="6">
                  <c:v>-196365.09999999963</c:v>
                </c:pt>
                <c:pt idx="7">
                  <c:v>-189700.09999999963</c:v>
                </c:pt>
                <c:pt idx="8">
                  <c:v>-182710.5</c:v>
                </c:pt>
                <c:pt idx="9">
                  <c:v>-175449.90000000037</c:v>
                </c:pt>
                <c:pt idx="10">
                  <c:v>-167962.69999999925</c:v>
                </c:pt>
                <c:pt idx="11">
                  <c:v>-160288.49999999814</c:v>
                </c:pt>
                <c:pt idx="12">
                  <c:v>-145251.39999999851</c:v>
                </c:pt>
                <c:pt idx="13">
                  <c:v>-135268.79999999702</c:v>
                </c:pt>
                <c:pt idx="14">
                  <c:v>-126962.90000000037</c:v>
                </c:pt>
                <c:pt idx="15">
                  <c:v>-118564.79999999888</c:v>
                </c:pt>
                <c:pt idx="16">
                  <c:v>-110087.09999999963</c:v>
                </c:pt>
                <c:pt idx="17">
                  <c:v>-101542.19999999739</c:v>
                </c:pt>
                <c:pt idx="18">
                  <c:v>-92938.699999999255</c:v>
                </c:pt>
                <c:pt idx="19">
                  <c:v>-84286.69999999553</c:v>
                </c:pt>
                <c:pt idx="20">
                  <c:v>-75593.199999999255</c:v>
                </c:pt>
                <c:pt idx="21">
                  <c:v>-66865.200000001118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D-462B-8826-3AAB447A6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71984"/>
        <c:axId val="488452784"/>
      </c:scatterChart>
      <c:valAx>
        <c:axId val="4884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52784"/>
        <c:crosses val="autoZero"/>
        <c:crossBetween val="midCat"/>
      </c:valAx>
      <c:valAx>
        <c:axId val="4884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G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7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533400</xdr:colOff>
      <xdr:row>10</xdr:row>
      <xdr:rowOff>52387</xdr:rowOff>
    </xdr:from>
    <xdr:to>
      <xdr:col>31</xdr:col>
      <xdr:colOff>228600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32D88-641A-EB66-3431-741E227B5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"/>
  <sheetViews>
    <sheetView tabSelected="1" topLeftCell="N1" workbookViewId="0">
      <selection activeCell="AP7" activeCellId="1" sqref="AJ7:AJ30 AP7:AP30"/>
    </sheetView>
  </sheetViews>
  <sheetFormatPr defaultRowHeight="15" x14ac:dyDescent="0.25"/>
  <sheetData>
    <row r="1" spans="1:42" x14ac:dyDescent="0.25">
      <c r="A1" t="s">
        <v>0</v>
      </c>
      <c r="D1" t="s">
        <v>1</v>
      </c>
      <c r="E1" t="s">
        <v>2</v>
      </c>
      <c r="F1" t="s">
        <v>3</v>
      </c>
      <c r="J1" t="s">
        <v>28</v>
      </c>
      <c r="N1" t="s">
        <v>29</v>
      </c>
      <c r="V1" t="s">
        <v>41</v>
      </c>
      <c r="W1" t="s">
        <v>2</v>
      </c>
      <c r="X1" t="s">
        <v>3</v>
      </c>
      <c r="AD1" t="s">
        <v>44</v>
      </c>
      <c r="AE1" t="s">
        <v>2</v>
      </c>
      <c r="AF1" t="s">
        <v>3</v>
      </c>
      <c r="AK1" t="s">
        <v>45</v>
      </c>
      <c r="AL1" t="e" cm="1">
        <f t="array" ref="AL1">- most stable</f>
        <v>#NAME?</v>
      </c>
      <c r="AM1" t="s">
        <v>3</v>
      </c>
    </row>
    <row r="2" spans="1:42" x14ac:dyDescent="0.25">
      <c r="E2" t="s">
        <v>4</v>
      </c>
      <c r="N2" t="s">
        <v>4</v>
      </c>
      <c r="W2" t="s">
        <v>4</v>
      </c>
      <c r="AE2" t="s">
        <v>4</v>
      </c>
      <c r="AL2" t="s">
        <v>4</v>
      </c>
    </row>
    <row r="3" spans="1:42" x14ac:dyDescent="0.25">
      <c r="D3" t="s">
        <v>5</v>
      </c>
      <c r="E3" t="s">
        <v>6</v>
      </c>
      <c r="F3" t="s">
        <v>7</v>
      </c>
      <c r="M3" t="s">
        <v>30</v>
      </c>
      <c r="N3" t="s">
        <v>31</v>
      </c>
      <c r="O3" t="s">
        <v>32</v>
      </c>
      <c r="V3" t="s">
        <v>5</v>
      </c>
      <c r="W3" t="s">
        <v>6</v>
      </c>
      <c r="X3" t="s">
        <v>7</v>
      </c>
      <c r="AD3" t="s">
        <v>5</v>
      </c>
      <c r="AE3" t="s">
        <v>6</v>
      </c>
      <c r="AF3" t="s">
        <v>7</v>
      </c>
      <c r="AK3" t="s">
        <v>46</v>
      </c>
      <c r="AL3" t="s">
        <v>47</v>
      </c>
      <c r="AM3" t="s">
        <v>32</v>
      </c>
    </row>
    <row r="4" spans="1:42" x14ac:dyDescent="0.25"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K4" t="s">
        <v>8</v>
      </c>
      <c r="L4" t="s">
        <v>9</v>
      </c>
      <c r="M4" t="s">
        <v>33</v>
      </c>
      <c r="N4" t="s">
        <v>34</v>
      </c>
      <c r="O4" t="s">
        <v>35</v>
      </c>
      <c r="P4" t="s">
        <v>13</v>
      </c>
      <c r="T4" t="s">
        <v>8</v>
      </c>
      <c r="U4" t="s">
        <v>9</v>
      </c>
      <c r="V4" t="s">
        <v>10</v>
      </c>
      <c r="W4" t="s">
        <v>11</v>
      </c>
      <c r="X4" t="s">
        <v>12</v>
      </c>
      <c r="Y4" t="s">
        <v>13</v>
      </c>
      <c r="AB4" t="s">
        <v>8</v>
      </c>
      <c r="AC4" t="s">
        <v>9</v>
      </c>
      <c r="AD4" t="s">
        <v>10</v>
      </c>
      <c r="AE4" t="s">
        <v>11</v>
      </c>
      <c r="AF4" t="s">
        <v>12</v>
      </c>
      <c r="AG4" t="s">
        <v>13</v>
      </c>
      <c r="AI4" t="s">
        <v>8</v>
      </c>
      <c r="AJ4" t="s">
        <v>9</v>
      </c>
      <c r="AK4" t="s">
        <v>48</v>
      </c>
      <c r="AL4" t="s">
        <v>49</v>
      </c>
      <c r="AM4" t="s">
        <v>50</v>
      </c>
      <c r="AN4" t="s">
        <v>13</v>
      </c>
    </row>
    <row r="5" spans="1:42" x14ac:dyDescent="0.25">
      <c r="C5" t="s">
        <v>14</v>
      </c>
      <c r="D5" t="s">
        <v>15</v>
      </c>
      <c r="E5" t="s">
        <v>16</v>
      </c>
      <c r="F5" t="s">
        <v>17</v>
      </c>
      <c r="L5" t="s">
        <v>14</v>
      </c>
      <c r="M5" t="s">
        <v>36</v>
      </c>
      <c r="N5" t="s">
        <v>37</v>
      </c>
      <c r="O5" t="s">
        <v>38</v>
      </c>
      <c r="U5" t="s">
        <v>14</v>
      </c>
      <c r="V5" t="s">
        <v>15</v>
      </c>
      <c r="W5" t="s">
        <v>16</v>
      </c>
      <c r="X5" t="s">
        <v>17</v>
      </c>
      <c r="AC5" t="s">
        <v>14</v>
      </c>
      <c r="AD5" t="s">
        <v>15</v>
      </c>
      <c r="AE5" t="s">
        <v>16</v>
      </c>
      <c r="AF5" t="s">
        <v>17</v>
      </c>
      <c r="AJ5" t="s">
        <v>14</v>
      </c>
      <c r="AK5" t="s">
        <v>51</v>
      </c>
      <c r="AL5" t="s">
        <v>52</v>
      </c>
      <c r="AM5" t="s">
        <v>53</v>
      </c>
    </row>
    <row r="6" spans="1:42" x14ac:dyDescent="0.25">
      <c r="B6" t="s">
        <v>18</v>
      </c>
      <c r="C6" t="s">
        <v>19</v>
      </c>
      <c r="D6" t="s">
        <v>19</v>
      </c>
      <c r="E6" t="s">
        <v>20</v>
      </c>
      <c r="F6" t="s">
        <v>20</v>
      </c>
      <c r="G6" t="s">
        <v>19</v>
      </c>
      <c r="K6" t="s">
        <v>18</v>
      </c>
      <c r="L6" t="s">
        <v>19</v>
      </c>
      <c r="M6" t="s">
        <v>19</v>
      </c>
      <c r="N6" t="s">
        <v>20</v>
      </c>
      <c r="O6" t="s">
        <v>20</v>
      </c>
      <c r="P6" t="s">
        <v>19</v>
      </c>
      <c r="Q6" t="s">
        <v>20</v>
      </c>
      <c r="T6" t="s">
        <v>18</v>
      </c>
      <c r="U6" t="s">
        <v>19</v>
      </c>
      <c r="V6" t="s">
        <v>19</v>
      </c>
      <c r="W6" t="s">
        <v>20</v>
      </c>
      <c r="X6" t="s">
        <v>20</v>
      </c>
      <c r="Y6" t="s">
        <v>19</v>
      </c>
      <c r="AB6" t="s">
        <v>18</v>
      </c>
      <c r="AC6" t="s">
        <v>19</v>
      </c>
      <c r="AD6" t="s">
        <v>19</v>
      </c>
      <c r="AE6" t="s">
        <v>20</v>
      </c>
      <c r="AF6" t="s">
        <v>20</v>
      </c>
      <c r="AG6" t="s">
        <v>19</v>
      </c>
      <c r="AI6" t="s">
        <v>18</v>
      </c>
      <c r="AJ6" t="s">
        <v>19</v>
      </c>
      <c r="AK6" t="s">
        <v>19</v>
      </c>
      <c r="AL6" t="s">
        <v>20</v>
      </c>
      <c r="AM6" t="s">
        <v>20</v>
      </c>
      <c r="AN6" t="s">
        <v>19</v>
      </c>
    </row>
    <row r="7" spans="1:42" x14ac:dyDescent="0.25"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K7" t="s">
        <v>39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40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AB7" t="s">
        <v>21</v>
      </c>
      <c r="AC7" t="s">
        <v>22</v>
      </c>
      <c r="AD7" t="s">
        <v>23</v>
      </c>
      <c r="AE7" t="s">
        <v>24</v>
      </c>
      <c r="AF7" t="s">
        <v>25</v>
      </c>
      <c r="AG7" t="s">
        <v>26</v>
      </c>
      <c r="AI7" t="s">
        <v>21</v>
      </c>
      <c r="AJ7" t="s">
        <v>22</v>
      </c>
      <c r="AK7" t="s">
        <v>23</v>
      </c>
      <c r="AL7" t="s">
        <v>24</v>
      </c>
      <c r="AM7" t="s">
        <v>25</v>
      </c>
      <c r="AN7" t="s">
        <v>26</v>
      </c>
      <c r="AP7" t="s">
        <v>54</v>
      </c>
    </row>
    <row r="8" spans="1:42" x14ac:dyDescent="0.25">
      <c r="B8" t="s">
        <v>18</v>
      </c>
      <c r="C8" t="s">
        <v>19</v>
      </c>
      <c r="D8" t="s">
        <v>19</v>
      </c>
      <c r="E8" t="s">
        <v>20</v>
      </c>
      <c r="F8" t="s">
        <v>20</v>
      </c>
      <c r="G8" t="s">
        <v>19</v>
      </c>
      <c r="K8" t="s">
        <v>18</v>
      </c>
      <c r="L8" t="s">
        <v>19</v>
      </c>
      <c r="M8" t="s">
        <v>19</v>
      </c>
      <c r="N8" t="s">
        <v>20</v>
      </c>
      <c r="O8" t="s">
        <v>20</v>
      </c>
      <c r="P8" t="s">
        <v>19</v>
      </c>
      <c r="Q8" t="s">
        <v>20</v>
      </c>
      <c r="T8" t="s">
        <v>18</v>
      </c>
      <c r="U8" t="s">
        <v>19</v>
      </c>
      <c r="V8" t="s">
        <v>19</v>
      </c>
      <c r="W8" t="s">
        <v>20</v>
      </c>
      <c r="X8" t="s">
        <v>20</v>
      </c>
      <c r="Y8" t="s">
        <v>19</v>
      </c>
      <c r="AB8" t="s">
        <v>18</v>
      </c>
      <c r="AC8" t="s">
        <v>19</v>
      </c>
      <c r="AD8" t="s">
        <v>19</v>
      </c>
      <c r="AE8" t="s">
        <v>20</v>
      </c>
      <c r="AF8" t="s">
        <v>20</v>
      </c>
      <c r="AG8" t="s">
        <v>19</v>
      </c>
      <c r="AI8" t="s">
        <v>18</v>
      </c>
      <c r="AJ8" t="s">
        <v>19</v>
      </c>
      <c r="AK8" t="s">
        <v>19</v>
      </c>
      <c r="AL8" t="s">
        <v>20</v>
      </c>
      <c r="AM8" t="s">
        <v>20</v>
      </c>
      <c r="AN8" t="s">
        <v>19</v>
      </c>
    </row>
    <row r="9" spans="1:42" x14ac:dyDescent="0.25">
      <c r="B9" t="s">
        <v>27</v>
      </c>
      <c r="C9">
        <v>298.14999999999998</v>
      </c>
      <c r="D9">
        <v>79.040999999999997</v>
      </c>
      <c r="E9">
        <v>-1675700</v>
      </c>
      <c r="F9">
        <v>-1690852</v>
      </c>
      <c r="G9">
        <v>50.82</v>
      </c>
      <c r="L9">
        <v>298.14999999999998</v>
      </c>
      <c r="M9">
        <v>66.944000000000003</v>
      </c>
      <c r="N9">
        <v>-547978.6</v>
      </c>
      <c r="O9">
        <v>-570539.69999999995</v>
      </c>
      <c r="P9">
        <v>75.67</v>
      </c>
      <c r="Q9">
        <v>0</v>
      </c>
      <c r="T9" t="s">
        <v>42</v>
      </c>
      <c r="U9">
        <v>298.14999999999998</v>
      </c>
      <c r="V9">
        <v>76.120999999999995</v>
      </c>
      <c r="W9">
        <v>-1144444.5</v>
      </c>
      <c r="X9">
        <v>-1169951.2</v>
      </c>
      <c r="Y9">
        <v>85.55</v>
      </c>
      <c r="AB9" t="s">
        <v>42</v>
      </c>
      <c r="AC9">
        <v>298.14999999999998</v>
      </c>
      <c r="AD9">
        <v>222.86600000000001</v>
      </c>
      <c r="AE9">
        <v>-3326280</v>
      </c>
      <c r="AF9">
        <v>-3411107.3</v>
      </c>
      <c r="AG9">
        <v>284.512</v>
      </c>
      <c r="AI9" t="s">
        <v>42</v>
      </c>
      <c r="AJ9">
        <v>298.14999999999998</v>
      </c>
      <c r="AK9">
        <v>536.14499999999998</v>
      </c>
      <c r="AL9">
        <v>-10788495.5</v>
      </c>
      <c r="AM9">
        <v>-10900274.300000001</v>
      </c>
      <c r="AN9">
        <v>374.90800000000002</v>
      </c>
      <c r="AP9">
        <f>AM9+AF9+X9-6*O9-7*F9</f>
        <v>-222130.60000000149</v>
      </c>
    </row>
    <row r="10" spans="1:42" x14ac:dyDescent="0.25">
      <c r="C10">
        <v>300</v>
      </c>
      <c r="D10">
        <v>79.438999999999993</v>
      </c>
      <c r="E10">
        <v>-1675553.4</v>
      </c>
      <c r="F10">
        <v>-1690946.4</v>
      </c>
      <c r="G10">
        <v>51.31</v>
      </c>
      <c r="L10">
        <v>300</v>
      </c>
      <c r="M10">
        <v>66.944000000000003</v>
      </c>
      <c r="N10">
        <v>-547854.80000000005</v>
      </c>
      <c r="O10">
        <v>-570680.1</v>
      </c>
      <c r="P10">
        <v>76.084000000000003</v>
      </c>
      <c r="Q10">
        <v>123.8</v>
      </c>
      <c r="U10">
        <v>300</v>
      </c>
      <c r="V10">
        <v>76.355999999999995</v>
      </c>
      <c r="W10">
        <v>-1144303.5</v>
      </c>
      <c r="X10">
        <v>-1170109.8999999999</v>
      </c>
      <c r="Y10">
        <v>86.022000000000006</v>
      </c>
      <c r="AC10">
        <v>300</v>
      </c>
      <c r="AD10">
        <v>223.274</v>
      </c>
      <c r="AE10">
        <v>-3325867.3</v>
      </c>
      <c r="AF10">
        <v>-3411634.9</v>
      </c>
      <c r="AG10">
        <v>285.892</v>
      </c>
      <c r="AJ10">
        <v>300</v>
      </c>
      <c r="AK10">
        <v>538.39200000000005</v>
      </c>
      <c r="AL10">
        <v>-10787501.5</v>
      </c>
      <c r="AM10">
        <v>-10900970.9</v>
      </c>
      <c r="AN10">
        <v>378.23099999999999</v>
      </c>
      <c r="AP10">
        <f t="shared" ref="AP10:AP30" si="0">AM10+AF10+X10-6*O10-7*F10</f>
        <v>-222010.30000000261</v>
      </c>
    </row>
    <row r="11" spans="1:42" x14ac:dyDescent="0.25">
      <c r="C11">
        <v>350</v>
      </c>
      <c r="D11">
        <v>88.76</v>
      </c>
      <c r="E11">
        <v>-1671337.5</v>
      </c>
      <c r="F11">
        <v>-1693838.8</v>
      </c>
      <c r="G11">
        <v>64.289000000000001</v>
      </c>
      <c r="L11">
        <v>350</v>
      </c>
      <c r="M11">
        <v>66.944000000000003</v>
      </c>
      <c r="N11">
        <v>-544507.6</v>
      </c>
      <c r="O11">
        <v>-574748.9</v>
      </c>
      <c r="P11">
        <v>86.403999999999996</v>
      </c>
      <c r="Q11">
        <v>3471</v>
      </c>
      <c r="U11">
        <v>350</v>
      </c>
      <c r="V11">
        <v>81.852000000000004</v>
      </c>
      <c r="W11">
        <v>-1140342.2</v>
      </c>
      <c r="X11">
        <v>-1174720.3999999999</v>
      </c>
      <c r="Y11">
        <v>98.222999999999999</v>
      </c>
      <c r="AC11">
        <v>350</v>
      </c>
      <c r="AD11">
        <v>233.06899999999999</v>
      </c>
      <c r="AE11">
        <v>-3314449.9</v>
      </c>
      <c r="AF11">
        <v>-3426825.3</v>
      </c>
      <c r="AG11">
        <v>321.07299999999998</v>
      </c>
      <c r="AJ11">
        <v>350</v>
      </c>
      <c r="AK11">
        <v>593.07500000000005</v>
      </c>
      <c r="AL11">
        <v>-10759166.6</v>
      </c>
      <c r="AM11">
        <v>-10922084.6</v>
      </c>
      <c r="AN11">
        <v>465.48</v>
      </c>
      <c r="AP11">
        <f t="shared" si="0"/>
        <v>-218265.29999999888</v>
      </c>
    </row>
    <row r="12" spans="1:42" x14ac:dyDescent="0.25">
      <c r="C12">
        <v>400</v>
      </c>
      <c r="D12">
        <v>95.858000000000004</v>
      </c>
      <c r="E12">
        <v>-1666714.3</v>
      </c>
      <c r="F12">
        <v>-1697364.6</v>
      </c>
      <c r="G12">
        <v>76.626000000000005</v>
      </c>
      <c r="L12">
        <v>400</v>
      </c>
      <c r="M12">
        <v>66.944000000000003</v>
      </c>
      <c r="N12">
        <v>-541160.4</v>
      </c>
      <c r="O12">
        <v>-579297.6</v>
      </c>
      <c r="P12">
        <v>95.343000000000004</v>
      </c>
      <c r="Q12">
        <v>6818.2</v>
      </c>
      <c r="U12">
        <v>400</v>
      </c>
      <c r="V12">
        <v>86.212000000000003</v>
      </c>
      <c r="W12">
        <v>-1136136.8999999999</v>
      </c>
      <c r="X12">
        <v>-1179916</v>
      </c>
      <c r="Y12">
        <v>109.44799999999999</v>
      </c>
      <c r="AC12">
        <v>400</v>
      </c>
      <c r="AD12">
        <v>241.24600000000001</v>
      </c>
      <c r="AE12">
        <v>-3302587</v>
      </c>
      <c r="AF12">
        <v>-3443683.7</v>
      </c>
      <c r="AG12">
        <v>352.74200000000002</v>
      </c>
      <c r="AJ12">
        <v>400</v>
      </c>
      <c r="AK12">
        <v>637.01</v>
      </c>
      <c r="AL12">
        <v>-10728373.9</v>
      </c>
      <c r="AM12">
        <v>-10947434.1</v>
      </c>
      <c r="AN12">
        <v>547.65</v>
      </c>
      <c r="AP12">
        <f t="shared" si="0"/>
        <v>-213696</v>
      </c>
    </row>
    <row r="13" spans="1:42" x14ac:dyDescent="0.25">
      <c r="C13">
        <v>450</v>
      </c>
      <c r="D13">
        <v>101.389</v>
      </c>
      <c r="E13">
        <v>-1661777.7</v>
      </c>
      <c r="F13">
        <v>-1701489.4</v>
      </c>
      <c r="G13">
        <v>88.248000000000005</v>
      </c>
      <c r="L13">
        <v>450</v>
      </c>
      <c r="M13">
        <v>66.944000000000003</v>
      </c>
      <c r="N13">
        <v>-537813.19999999995</v>
      </c>
      <c r="O13">
        <v>-584265.69999999995</v>
      </c>
      <c r="P13">
        <v>103.22799999999999</v>
      </c>
      <c r="Q13">
        <v>10165.4</v>
      </c>
      <c r="U13">
        <v>450</v>
      </c>
      <c r="V13">
        <v>89.855000000000004</v>
      </c>
      <c r="W13">
        <v>-1131732.8</v>
      </c>
      <c r="X13">
        <v>-1185650.8999999999</v>
      </c>
      <c r="Y13">
        <v>119.818</v>
      </c>
      <c r="AC13">
        <v>450</v>
      </c>
      <c r="AD13">
        <v>248.483</v>
      </c>
      <c r="AE13">
        <v>-3290340.7</v>
      </c>
      <c r="AF13">
        <v>-3462052.4</v>
      </c>
      <c r="AG13">
        <v>381.58199999999999</v>
      </c>
      <c r="AJ13">
        <v>450</v>
      </c>
      <c r="AK13">
        <v>672.34299999999996</v>
      </c>
      <c r="AL13">
        <v>-10695608.800000001</v>
      </c>
      <c r="AM13">
        <v>-10976765.699999999</v>
      </c>
      <c r="AN13">
        <v>624.79300000000001</v>
      </c>
      <c r="AP13">
        <f t="shared" si="0"/>
        <v>-208449.00000000186</v>
      </c>
    </row>
    <row r="14" spans="1:42" x14ac:dyDescent="0.25">
      <c r="C14">
        <v>500</v>
      </c>
      <c r="D14">
        <v>105.8</v>
      </c>
      <c r="E14">
        <v>-1656594</v>
      </c>
      <c r="F14">
        <v>-1706177.7</v>
      </c>
      <c r="G14">
        <v>99.167000000000002</v>
      </c>
      <c r="L14">
        <v>500</v>
      </c>
      <c r="M14">
        <v>66.944000000000003</v>
      </c>
      <c r="N14">
        <v>-534466</v>
      </c>
      <c r="O14">
        <v>-589606.5</v>
      </c>
      <c r="P14">
        <v>110.28100000000001</v>
      </c>
      <c r="Q14">
        <v>13512.6</v>
      </c>
      <c r="U14">
        <v>500</v>
      </c>
      <c r="V14">
        <v>93.004999999999995</v>
      </c>
      <c r="W14">
        <v>-1127159.6000000001</v>
      </c>
      <c r="X14">
        <v>-1191885.5</v>
      </c>
      <c r="Y14">
        <v>129.452</v>
      </c>
      <c r="AC14">
        <v>500</v>
      </c>
      <c r="AD14">
        <v>255.13499999999999</v>
      </c>
      <c r="AE14">
        <v>-3277748.4</v>
      </c>
      <c r="AF14">
        <v>-3481803.4</v>
      </c>
      <c r="AG14">
        <v>408.11</v>
      </c>
      <c r="AJ14">
        <v>500</v>
      </c>
      <c r="AK14">
        <v>701.1</v>
      </c>
      <c r="AL14">
        <v>-10661248.9</v>
      </c>
      <c r="AM14">
        <v>-11009833.9</v>
      </c>
      <c r="AN14">
        <v>697.17</v>
      </c>
      <c r="AP14">
        <f t="shared" si="0"/>
        <v>-202639.90000000037</v>
      </c>
    </row>
    <row r="15" spans="1:42" x14ac:dyDescent="0.25">
      <c r="C15">
        <v>550</v>
      </c>
      <c r="D15">
        <v>109.39</v>
      </c>
      <c r="E15">
        <v>-1651211.3</v>
      </c>
      <c r="F15">
        <v>-1711395.1</v>
      </c>
      <c r="G15">
        <v>109.425</v>
      </c>
      <c r="L15">
        <v>550</v>
      </c>
      <c r="M15">
        <v>66.944000000000003</v>
      </c>
      <c r="N15">
        <v>-531118.80000000005</v>
      </c>
      <c r="O15">
        <v>-595282.6</v>
      </c>
      <c r="P15">
        <v>116.66200000000001</v>
      </c>
      <c r="Q15">
        <v>16859.8</v>
      </c>
      <c r="U15">
        <v>550</v>
      </c>
      <c r="V15">
        <v>95.784999999999997</v>
      </c>
      <c r="W15">
        <v>-1122438.5</v>
      </c>
      <c r="X15">
        <v>-1198585.5</v>
      </c>
      <c r="Y15">
        <v>138.44900000000001</v>
      </c>
      <c r="AC15">
        <v>550</v>
      </c>
      <c r="AD15">
        <v>261.40499999999997</v>
      </c>
      <c r="AE15">
        <v>-3264833.6</v>
      </c>
      <c r="AF15">
        <v>-3502831.6</v>
      </c>
      <c r="AG15">
        <v>432.72399999999999</v>
      </c>
      <c r="AJ15">
        <v>550</v>
      </c>
      <c r="AK15">
        <v>724.84400000000005</v>
      </c>
      <c r="AL15">
        <v>-10625582.1</v>
      </c>
      <c r="AM15">
        <v>-11046409.300000001</v>
      </c>
      <c r="AN15">
        <v>765.14</v>
      </c>
      <c r="AP15">
        <f t="shared" si="0"/>
        <v>-196365.09999999963</v>
      </c>
    </row>
    <row r="16" spans="1:42" x14ac:dyDescent="0.25">
      <c r="C16">
        <v>600</v>
      </c>
      <c r="D16">
        <v>112.36799999999999</v>
      </c>
      <c r="E16">
        <v>-1645665.2</v>
      </c>
      <c r="F16">
        <v>-1717110</v>
      </c>
      <c r="G16">
        <v>119.075</v>
      </c>
      <c r="L16">
        <v>600</v>
      </c>
      <c r="M16">
        <v>66.944000000000003</v>
      </c>
      <c r="N16">
        <v>-527771.6</v>
      </c>
      <c r="O16">
        <v>-601263.5</v>
      </c>
      <c r="P16">
        <v>122.486</v>
      </c>
      <c r="Q16">
        <v>20207</v>
      </c>
      <c r="U16">
        <v>600</v>
      </c>
      <c r="V16">
        <v>98.272000000000006</v>
      </c>
      <c r="W16">
        <v>-1117586</v>
      </c>
      <c r="X16">
        <v>-1205721.2</v>
      </c>
      <c r="Y16">
        <v>146.892</v>
      </c>
      <c r="AC16">
        <v>600</v>
      </c>
      <c r="AD16">
        <v>267.416</v>
      </c>
      <c r="AE16">
        <v>-3251612.1</v>
      </c>
      <c r="AF16">
        <v>-3525049</v>
      </c>
      <c r="AG16">
        <v>455.72800000000001</v>
      </c>
      <c r="AJ16">
        <v>600</v>
      </c>
      <c r="AK16">
        <v>744.73400000000004</v>
      </c>
      <c r="AL16">
        <v>-10588828.6</v>
      </c>
      <c r="AM16">
        <v>-11086280.9</v>
      </c>
      <c r="AN16">
        <v>829.08699999999999</v>
      </c>
      <c r="AP16">
        <f t="shared" si="0"/>
        <v>-189700.09999999963</v>
      </c>
    </row>
    <row r="17" spans="3:42" x14ac:dyDescent="0.25">
      <c r="C17">
        <v>650</v>
      </c>
      <c r="D17">
        <v>114.877</v>
      </c>
      <c r="E17">
        <v>-1639982.3</v>
      </c>
      <c r="F17">
        <v>-1723293.4</v>
      </c>
      <c r="G17">
        <v>128.17099999999999</v>
      </c>
      <c r="L17">
        <v>650</v>
      </c>
      <c r="M17">
        <v>66.944000000000003</v>
      </c>
      <c r="N17">
        <v>-524424.4</v>
      </c>
      <c r="O17">
        <v>-607523.5</v>
      </c>
      <c r="P17">
        <v>127.845</v>
      </c>
      <c r="Q17">
        <v>23554.2</v>
      </c>
      <c r="U17">
        <v>650</v>
      </c>
      <c r="V17">
        <v>100.515</v>
      </c>
      <c r="W17">
        <v>-1112615.3</v>
      </c>
      <c r="X17">
        <v>-1213266.6000000001</v>
      </c>
      <c r="Y17">
        <v>154.84800000000001</v>
      </c>
      <c r="AC17">
        <v>650</v>
      </c>
      <c r="AD17">
        <v>273.24299999999999</v>
      </c>
      <c r="AE17">
        <v>-3238095</v>
      </c>
      <c r="AF17">
        <v>-3548381.6</v>
      </c>
      <c r="AG17">
        <v>477.36399999999998</v>
      </c>
      <c r="AJ17">
        <v>650</v>
      </c>
      <c r="AK17">
        <v>761.62</v>
      </c>
      <c r="AL17">
        <v>-10551158.699999999</v>
      </c>
      <c r="AM17">
        <v>-11129257.1</v>
      </c>
      <c r="AN17">
        <v>889.38199999999995</v>
      </c>
      <c r="AP17">
        <f t="shared" si="0"/>
        <v>-182710.5</v>
      </c>
    </row>
    <row r="18" spans="3:42" x14ac:dyDescent="0.25">
      <c r="C18">
        <v>700</v>
      </c>
      <c r="D18">
        <v>117.021</v>
      </c>
      <c r="E18">
        <v>-1634183.5</v>
      </c>
      <c r="F18">
        <v>-1729918.7</v>
      </c>
      <c r="G18">
        <v>136.76499999999999</v>
      </c>
      <c r="L18">
        <v>700</v>
      </c>
      <c r="M18">
        <v>66.944000000000003</v>
      </c>
      <c r="N18">
        <v>-521077.2</v>
      </c>
      <c r="O18">
        <v>-614041.30000000005</v>
      </c>
      <c r="P18">
        <v>132.80600000000001</v>
      </c>
      <c r="Q18">
        <v>26901.4</v>
      </c>
      <c r="U18">
        <v>700</v>
      </c>
      <c r="V18">
        <v>102.54300000000001</v>
      </c>
      <c r="W18">
        <v>-1107538</v>
      </c>
      <c r="X18">
        <v>-1221198.8</v>
      </c>
      <c r="Y18">
        <v>162.37200000000001</v>
      </c>
      <c r="AC18">
        <v>700</v>
      </c>
      <c r="AD18">
        <v>278.93799999999999</v>
      </c>
      <c r="AE18">
        <v>-3224290</v>
      </c>
      <c r="AF18">
        <v>-3572765.8</v>
      </c>
      <c r="AG18">
        <v>497.82299999999998</v>
      </c>
      <c r="AJ18">
        <v>700</v>
      </c>
      <c r="AK18">
        <v>776.12900000000002</v>
      </c>
      <c r="AL18">
        <v>-10512706.199999999</v>
      </c>
      <c r="AM18">
        <v>-11175164</v>
      </c>
      <c r="AN18">
        <v>946.36800000000005</v>
      </c>
      <c r="AP18">
        <f t="shared" si="0"/>
        <v>-175449.90000000037</v>
      </c>
    </row>
    <row r="19" spans="3:42" x14ac:dyDescent="0.25">
      <c r="C19">
        <v>750</v>
      </c>
      <c r="D19">
        <v>118.876</v>
      </c>
      <c r="E19">
        <v>-1628285</v>
      </c>
      <c r="F19">
        <v>-1736962.2</v>
      </c>
      <c r="G19">
        <v>144.90299999999999</v>
      </c>
      <c r="L19">
        <v>750</v>
      </c>
      <c r="M19">
        <v>66.944000000000003</v>
      </c>
      <c r="N19">
        <v>-517730</v>
      </c>
      <c r="O19">
        <v>-620798.4</v>
      </c>
      <c r="P19">
        <v>137.42500000000001</v>
      </c>
      <c r="Q19">
        <v>30248.6</v>
      </c>
      <c r="U19">
        <v>750</v>
      </c>
      <c r="V19">
        <v>104.379</v>
      </c>
      <c r="W19">
        <v>-1102364.2</v>
      </c>
      <c r="X19">
        <v>-1229497.3999999999</v>
      </c>
      <c r="Y19">
        <v>169.511</v>
      </c>
      <c r="AC19">
        <v>750</v>
      </c>
      <c r="AD19">
        <v>284.88099999999997</v>
      </c>
      <c r="AE19">
        <v>-3210190.8</v>
      </c>
      <c r="AF19">
        <v>-3598147.1</v>
      </c>
      <c r="AG19">
        <v>517.27499999999998</v>
      </c>
      <c r="AJ19">
        <v>750</v>
      </c>
      <c r="AK19">
        <v>788.73400000000004</v>
      </c>
      <c r="AL19">
        <v>-10473577.5</v>
      </c>
      <c r="AM19">
        <v>-11223844</v>
      </c>
      <c r="AN19">
        <v>1000.355</v>
      </c>
      <c r="AP19">
        <f t="shared" si="0"/>
        <v>-167962.69999999925</v>
      </c>
    </row>
    <row r="20" spans="3:42" x14ac:dyDescent="0.25">
      <c r="C20">
        <v>800</v>
      </c>
      <c r="D20">
        <v>120.497</v>
      </c>
      <c r="E20">
        <v>-1622299.9</v>
      </c>
      <c r="F20">
        <v>-1744402.2</v>
      </c>
      <c r="G20">
        <v>152.62799999999999</v>
      </c>
      <c r="L20">
        <v>800</v>
      </c>
      <c r="M20">
        <v>66.944000000000003</v>
      </c>
      <c r="N20">
        <v>-514382.8</v>
      </c>
      <c r="O20">
        <v>-627778.80000000005</v>
      </c>
      <c r="P20">
        <v>141.745</v>
      </c>
      <c r="Q20">
        <v>33595.800000000003</v>
      </c>
      <c r="U20">
        <v>800</v>
      </c>
      <c r="V20">
        <v>106.03700000000001</v>
      </c>
      <c r="W20">
        <v>-1097103.1000000001</v>
      </c>
      <c r="X20">
        <v>-1238144.1000000001</v>
      </c>
      <c r="Y20">
        <v>176.30099999999999</v>
      </c>
      <c r="AC20">
        <v>800</v>
      </c>
      <c r="AD20">
        <v>290.04000000000002</v>
      </c>
      <c r="AE20">
        <v>-3195814.9</v>
      </c>
      <c r="AF20">
        <v>-3624478.4</v>
      </c>
      <c r="AG20">
        <v>535.82899999999995</v>
      </c>
      <c r="AJ20">
        <v>800</v>
      </c>
      <c r="AK20">
        <v>799.79</v>
      </c>
      <c r="AL20">
        <v>-10433858.6</v>
      </c>
      <c r="AM20">
        <v>-11275154.199999999</v>
      </c>
      <c r="AN20">
        <v>1051.6199999999999</v>
      </c>
      <c r="AP20">
        <f t="shared" si="0"/>
        <v>-160288.49999999814</v>
      </c>
    </row>
    <row r="21" spans="3:42" x14ac:dyDescent="0.25">
      <c r="C21">
        <v>850</v>
      </c>
      <c r="D21">
        <v>121.92700000000001</v>
      </c>
      <c r="E21">
        <v>-1616238.5</v>
      </c>
      <c r="F21">
        <v>-1752218.8</v>
      </c>
      <c r="G21">
        <v>159.977</v>
      </c>
      <c r="L21">
        <v>850</v>
      </c>
      <c r="M21">
        <v>66.944000000000003</v>
      </c>
      <c r="N21">
        <v>-511035.6</v>
      </c>
      <c r="O21">
        <v>-634968.6</v>
      </c>
      <c r="P21">
        <v>145.803</v>
      </c>
      <c r="Q21">
        <v>36943</v>
      </c>
      <c r="U21">
        <v>810</v>
      </c>
      <c r="V21">
        <v>101.69</v>
      </c>
      <c r="W21">
        <v>-1096041.2</v>
      </c>
      <c r="X21">
        <v>-1239913.7</v>
      </c>
      <c r="Y21">
        <v>177.62</v>
      </c>
      <c r="AC21">
        <v>850</v>
      </c>
      <c r="AD21">
        <v>294.589</v>
      </c>
      <c r="AE21">
        <v>-3181197</v>
      </c>
      <c r="AF21">
        <v>-3651716.2</v>
      </c>
      <c r="AG21">
        <v>553.55200000000002</v>
      </c>
      <c r="AJ21">
        <v>850</v>
      </c>
      <c r="AK21">
        <v>809.572</v>
      </c>
      <c r="AL21">
        <v>-10393619.699999999</v>
      </c>
      <c r="AM21">
        <v>-11328964.699999999</v>
      </c>
      <c r="AN21">
        <v>1100.4059999999999</v>
      </c>
      <c r="AP21">
        <f t="shared" si="0"/>
        <v>-145251.39999999851</v>
      </c>
    </row>
    <row r="22" spans="3:42" x14ac:dyDescent="0.25">
      <c r="C22">
        <v>900</v>
      </c>
      <c r="D22">
        <v>123.2</v>
      </c>
      <c r="E22">
        <v>-1610109.8</v>
      </c>
      <c r="F22">
        <v>-1760394.1</v>
      </c>
      <c r="G22">
        <v>166.983</v>
      </c>
      <c r="L22">
        <v>900</v>
      </c>
      <c r="M22">
        <v>66.944000000000003</v>
      </c>
      <c r="N22">
        <v>-507688.4</v>
      </c>
      <c r="O22">
        <v>-642355.30000000005</v>
      </c>
      <c r="P22">
        <v>149.63</v>
      </c>
      <c r="Q22">
        <v>40290.199999999997</v>
      </c>
      <c r="T22" t="s">
        <v>43</v>
      </c>
      <c r="U22">
        <v>850</v>
      </c>
      <c r="V22">
        <v>102.17</v>
      </c>
      <c r="W22">
        <v>-1090669</v>
      </c>
      <c r="X22">
        <v>-1247181.3999999999</v>
      </c>
      <c r="Y22">
        <v>184.13200000000001</v>
      </c>
      <c r="AC22">
        <v>900</v>
      </c>
      <c r="AD22">
        <v>298.64600000000002</v>
      </c>
      <c r="AE22">
        <v>-3166364.3</v>
      </c>
      <c r="AF22">
        <v>-3679820.8</v>
      </c>
      <c r="AG22">
        <v>570.50699999999995</v>
      </c>
      <c r="AJ22">
        <v>900</v>
      </c>
      <c r="AK22">
        <v>818.29499999999996</v>
      </c>
      <c r="AL22">
        <v>-10352919</v>
      </c>
      <c r="AM22">
        <v>-11385157.1</v>
      </c>
      <c r="AN22">
        <v>1146.931</v>
      </c>
      <c r="AP22">
        <f t="shared" si="0"/>
        <v>-135268.79999999702</v>
      </c>
    </row>
    <row r="23" spans="3:42" x14ac:dyDescent="0.25">
      <c r="C23">
        <v>950</v>
      </c>
      <c r="D23">
        <v>124.34099999999999</v>
      </c>
      <c r="E23">
        <v>-1603920.7</v>
      </c>
      <c r="F23">
        <v>-1768911.8</v>
      </c>
      <c r="G23">
        <v>173.67500000000001</v>
      </c>
      <c r="L23">
        <v>950</v>
      </c>
      <c r="M23">
        <v>66.944000000000003</v>
      </c>
      <c r="N23">
        <v>-504341.2</v>
      </c>
      <c r="O23">
        <v>-649928.1</v>
      </c>
      <c r="P23">
        <v>153.249</v>
      </c>
      <c r="Q23">
        <v>43637.4</v>
      </c>
      <c r="U23">
        <v>900</v>
      </c>
      <c r="V23">
        <v>102.77</v>
      </c>
      <c r="W23">
        <v>-1085545.5</v>
      </c>
      <c r="X23">
        <v>-1256535.7</v>
      </c>
      <c r="Y23">
        <v>189.989</v>
      </c>
      <c r="AC23">
        <v>950</v>
      </c>
      <c r="AD23">
        <v>302.298</v>
      </c>
      <c r="AE23">
        <v>-3151339.1</v>
      </c>
      <c r="AF23">
        <v>-3708755.1</v>
      </c>
      <c r="AG23">
        <v>586.75400000000002</v>
      </c>
      <c r="AJ23">
        <v>950</v>
      </c>
      <c r="AK23">
        <v>826.12699999999995</v>
      </c>
      <c r="AL23">
        <v>-10311805</v>
      </c>
      <c r="AM23">
        <v>-11443623.300000001</v>
      </c>
      <c r="AN23">
        <v>1191.3879999999999</v>
      </c>
      <c r="AP23">
        <f t="shared" si="0"/>
        <v>-126962.90000000037</v>
      </c>
    </row>
    <row r="24" spans="3:42" x14ac:dyDescent="0.25">
      <c r="C24">
        <v>1000</v>
      </c>
      <c r="D24">
        <v>125.371</v>
      </c>
      <c r="E24">
        <v>-1597677.5</v>
      </c>
      <c r="F24">
        <v>-1777756.8</v>
      </c>
      <c r="G24">
        <v>180.07900000000001</v>
      </c>
      <c r="L24">
        <v>1000</v>
      </c>
      <c r="M24">
        <v>66.944000000000003</v>
      </c>
      <c r="N24">
        <v>-500994</v>
      </c>
      <c r="O24">
        <v>-657677.1</v>
      </c>
      <c r="P24">
        <v>156.68299999999999</v>
      </c>
      <c r="Q24">
        <v>46984.6</v>
      </c>
      <c r="U24">
        <v>950</v>
      </c>
      <c r="V24">
        <v>103.37</v>
      </c>
      <c r="W24">
        <v>-1080392</v>
      </c>
      <c r="X24">
        <v>-1266175.6000000001</v>
      </c>
      <c r="Y24">
        <v>195.56200000000001</v>
      </c>
      <c r="AC24">
        <v>1000</v>
      </c>
      <c r="AD24">
        <v>305.60700000000003</v>
      </c>
      <c r="AE24">
        <v>-3136140.1</v>
      </c>
      <c r="AF24">
        <v>-3738485.2</v>
      </c>
      <c r="AG24">
        <v>602.34500000000003</v>
      </c>
      <c r="AJ24">
        <v>1000</v>
      </c>
      <c r="AK24">
        <v>833.20500000000004</v>
      </c>
      <c r="AL24">
        <v>-10270318.800000001</v>
      </c>
      <c r="AM24">
        <v>-11504264.199999999</v>
      </c>
      <c r="AN24">
        <v>1233.9449999999999</v>
      </c>
      <c r="AP24">
        <f t="shared" si="0"/>
        <v>-118564.79999999888</v>
      </c>
    </row>
    <row r="25" spans="3:42" x14ac:dyDescent="0.25">
      <c r="C25">
        <v>1050</v>
      </c>
      <c r="D25">
        <v>126.30500000000001</v>
      </c>
      <c r="E25">
        <v>-1591385.2</v>
      </c>
      <c r="F25">
        <v>-1786915.3</v>
      </c>
      <c r="G25">
        <v>186.21899999999999</v>
      </c>
      <c r="L25">
        <v>1050</v>
      </c>
      <c r="M25">
        <v>66.944000000000003</v>
      </c>
      <c r="N25">
        <v>-497646.8</v>
      </c>
      <c r="O25">
        <v>-665593.59999999998</v>
      </c>
      <c r="P25">
        <v>159.94900000000001</v>
      </c>
      <c r="Q25">
        <v>50331.8</v>
      </c>
      <c r="U25">
        <v>1000</v>
      </c>
      <c r="V25">
        <v>103.97</v>
      </c>
      <c r="W25">
        <v>-1075208.5</v>
      </c>
      <c r="X25">
        <v>-1276087.6000000001</v>
      </c>
      <c r="Y25">
        <v>200.87899999999999</v>
      </c>
      <c r="AC25">
        <v>1050</v>
      </c>
      <c r="AD25">
        <v>308.62</v>
      </c>
      <c r="AE25">
        <v>-3120783.3</v>
      </c>
      <c r="AF25">
        <v>-3768979.5</v>
      </c>
      <c r="AG25">
        <v>617.33000000000004</v>
      </c>
      <c r="AJ25">
        <v>1050</v>
      </c>
      <c r="AK25">
        <v>839.63599999999997</v>
      </c>
      <c r="AL25">
        <v>-10228495.300000001</v>
      </c>
      <c r="AM25">
        <v>-11566988.699999999</v>
      </c>
      <c r="AN25">
        <v>1274.7560000000001</v>
      </c>
      <c r="AP25">
        <f t="shared" si="0"/>
        <v>-110087.09999999963</v>
      </c>
    </row>
    <row r="26" spans="3:42" x14ac:dyDescent="0.25">
      <c r="C26">
        <v>1100</v>
      </c>
      <c r="D26">
        <v>127.158</v>
      </c>
      <c r="E26">
        <v>-1585048.3</v>
      </c>
      <c r="F26">
        <v>-1796374.6</v>
      </c>
      <c r="G26">
        <v>192.11500000000001</v>
      </c>
      <c r="L26">
        <v>1100</v>
      </c>
      <c r="M26">
        <v>66.944000000000003</v>
      </c>
      <c r="N26">
        <v>-494299.6</v>
      </c>
      <c r="O26">
        <v>-673669.5</v>
      </c>
      <c r="P26">
        <v>163.06399999999999</v>
      </c>
      <c r="Q26">
        <v>53679</v>
      </c>
      <c r="U26">
        <v>1050</v>
      </c>
      <c r="V26">
        <v>104.57</v>
      </c>
      <c r="W26">
        <v>-1069995</v>
      </c>
      <c r="X26">
        <v>-1286259.7</v>
      </c>
      <c r="Y26">
        <v>205.96600000000001</v>
      </c>
      <c r="AC26">
        <v>1100</v>
      </c>
      <c r="AD26">
        <v>311.37400000000002</v>
      </c>
      <c r="AE26">
        <v>-3105282.4</v>
      </c>
      <c r="AF26">
        <v>-3800208.8</v>
      </c>
      <c r="AG26">
        <v>631.75099999999998</v>
      </c>
      <c r="AJ26">
        <v>1100</v>
      </c>
      <c r="AK26">
        <v>845.51</v>
      </c>
      <c r="AL26">
        <v>-10186364.5</v>
      </c>
      <c r="AM26">
        <v>-11631712.9</v>
      </c>
      <c r="AN26">
        <v>1313.953</v>
      </c>
      <c r="AP26">
        <f t="shared" si="0"/>
        <v>-101542.19999999739</v>
      </c>
    </row>
    <row r="27" spans="3:42" x14ac:dyDescent="0.25">
      <c r="C27">
        <v>1150</v>
      </c>
      <c r="D27">
        <v>127.94</v>
      </c>
      <c r="E27">
        <v>-1578670.6</v>
      </c>
      <c r="F27">
        <v>-1806123</v>
      </c>
      <c r="G27">
        <v>197.785</v>
      </c>
      <c r="L27">
        <v>1150</v>
      </c>
      <c r="M27">
        <v>66.944000000000003</v>
      </c>
      <c r="N27">
        <v>-490952.4</v>
      </c>
      <c r="O27">
        <v>-681897.7</v>
      </c>
      <c r="P27">
        <v>166.03899999999999</v>
      </c>
      <c r="Q27">
        <v>57026.2</v>
      </c>
      <c r="U27">
        <v>1100</v>
      </c>
      <c r="V27">
        <v>105.17</v>
      </c>
      <c r="W27">
        <v>-1064751.5</v>
      </c>
      <c r="X27">
        <v>-1296680.8</v>
      </c>
      <c r="Y27">
        <v>210.845</v>
      </c>
      <c r="AC27">
        <v>1150</v>
      </c>
      <c r="AD27">
        <v>313.89600000000002</v>
      </c>
      <c r="AE27">
        <v>-3089649.7</v>
      </c>
      <c r="AF27">
        <v>-3832145.9</v>
      </c>
      <c r="AG27">
        <v>645.649</v>
      </c>
      <c r="AJ27">
        <v>1150</v>
      </c>
      <c r="AK27">
        <v>850.9</v>
      </c>
      <c r="AL27">
        <v>-10143952.4</v>
      </c>
      <c r="AM27">
        <v>-11698359.199999999</v>
      </c>
      <c r="AN27">
        <v>1351.6579999999999</v>
      </c>
      <c r="AP27">
        <f t="shared" si="0"/>
        <v>-92938.699999999255</v>
      </c>
    </row>
    <row r="28" spans="3:42" x14ac:dyDescent="0.25">
      <c r="C28">
        <v>1200</v>
      </c>
      <c r="D28">
        <v>128.661</v>
      </c>
      <c r="E28">
        <v>-1572255.3</v>
      </c>
      <c r="F28">
        <v>-1816149.6</v>
      </c>
      <c r="G28">
        <v>203.245</v>
      </c>
      <c r="L28">
        <v>1200</v>
      </c>
      <c r="M28">
        <v>66.944000000000003</v>
      </c>
      <c r="N28">
        <v>-487605.2</v>
      </c>
      <c r="O28">
        <v>-690271.4</v>
      </c>
      <c r="P28">
        <v>168.88800000000001</v>
      </c>
      <c r="Q28">
        <v>60373.4</v>
      </c>
      <c r="U28">
        <v>1150</v>
      </c>
      <c r="V28">
        <v>105.77</v>
      </c>
      <c r="W28">
        <v>-1059478</v>
      </c>
      <c r="X28">
        <v>-1307341</v>
      </c>
      <c r="Y28">
        <v>215.53299999999999</v>
      </c>
      <c r="AC28">
        <v>1200</v>
      </c>
      <c r="AD28">
        <v>316.20999999999998</v>
      </c>
      <c r="AE28">
        <v>-3073896.3</v>
      </c>
      <c r="AF28">
        <v>-3864765.6</v>
      </c>
      <c r="AG28">
        <v>659.05799999999999</v>
      </c>
      <c r="AJ28">
        <v>1200</v>
      </c>
      <c r="AK28">
        <v>855.86800000000005</v>
      </c>
      <c r="AL28">
        <v>-10101281.5</v>
      </c>
      <c r="AM28">
        <v>-11766855.699999999</v>
      </c>
      <c r="AN28">
        <v>1387.9780000000001</v>
      </c>
      <c r="AP28">
        <f t="shared" si="0"/>
        <v>-84286.69999999553</v>
      </c>
    </row>
    <row r="29" spans="3:42" x14ac:dyDescent="0.25">
      <c r="C29">
        <v>1250</v>
      </c>
      <c r="D29">
        <v>129.327</v>
      </c>
      <c r="E29">
        <v>-1565805.4</v>
      </c>
      <c r="F29">
        <v>-1826444.3</v>
      </c>
      <c r="G29">
        <v>208.511</v>
      </c>
      <c r="L29">
        <v>1250</v>
      </c>
      <c r="M29">
        <v>66.944000000000003</v>
      </c>
      <c r="N29">
        <v>-484258</v>
      </c>
      <c r="O29">
        <v>-698784.6</v>
      </c>
      <c r="P29">
        <v>171.62100000000001</v>
      </c>
      <c r="Q29">
        <v>63720.6</v>
      </c>
      <c r="U29">
        <v>1200</v>
      </c>
      <c r="V29">
        <v>106.37</v>
      </c>
      <c r="W29">
        <v>-1054174.5</v>
      </c>
      <c r="X29">
        <v>-1318231.2</v>
      </c>
      <c r="Y29">
        <v>220.047</v>
      </c>
      <c r="AC29">
        <v>1250</v>
      </c>
      <c r="AD29">
        <v>318.33499999999998</v>
      </c>
      <c r="AE29">
        <v>-3058031.9</v>
      </c>
      <c r="AF29">
        <v>-3898044.1</v>
      </c>
      <c r="AG29">
        <v>672.01</v>
      </c>
      <c r="AJ29">
        <v>1250</v>
      </c>
      <c r="AK29">
        <v>860.46299999999997</v>
      </c>
      <c r="AL29">
        <v>-10058371.800000001</v>
      </c>
      <c r="AM29">
        <v>-11837135.6</v>
      </c>
      <c r="AN29">
        <v>1423.011</v>
      </c>
      <c r="AP29">
        <f t="shared" si="0"/>
        <v>-75593.199999999255</v>
      </c>
    </row>
    <row r="30" spans="3:42" x14ac:dyDescent="0.25">
      <c r="C30">
        <v>1300</v>
      </c>
      <c r="D30">
        <v>129.94499999999999</v>
      </c>
      <c r="E30">
        <v>-1559323.5</v>
      </c>
      <c r="F30">
        <v>-1836997.7</v>
      </c>
      <c r="G30">
        <v>213.596</v>
      </c>
      <c r="L30">
        <v>1300</v>
      </c>
      <c r="M30">
        <v>66.944000000000003</v>
      </c>
      <c r="N30">
        <v>-480910.8</v>
      </c>
      <c r="O30">
        <v>-707431.7</v>
      </c>
      <c r="P30">
        <v>174.24700000000001</v>
      </c>
      <c r="Q30">
        <v>67067.8</v>
      </c>
      <c r="U30">
        <v>1250</v>
      </c>
      <c r="V30">
        <v>106.97</v>
      </c>
      <c r="W30">
        <v>-1048841</v>
      </c>
      <c r="X30">
        <v>-1329343.1000000001</v>
      </c>
      <c r="Y30">
        <v>224.40199999999999</v>
      </c>
      <c r="AC30">
        <v>1300</v>
      </c>
      <c r="AD30">
        <v>320.286</v>
      </c>
      <c r="AE30">
        <v>-3042065.7</v>
      </c>
      <c r="AF30">
        <v>-3931959.4</v>
      </c>
      <c r="AG30">
        <v>684.53399999999999</v>
      </c>
      <c r="AJ30">
        <v>1300</v>
      </c>
      <c r="AK30">
        <v>864.73</v>
      </c>
      <c r="AL30">
        <v>-10015240.699999999</v>
      </c>
      <c r="AM30">
        <v>-11909136.800000001</v>
      </c>
      <c r="AN30">
        <v>1456.8430000000001</v>
      </c>
      <c r="AP30">
        <f t="shared" si="0"/>
        <v>-66865.200000001118</v>
      </c>
    </row>
    <row r="31" spans="3:42" x14ac:dyDescent="0.25">
      <c r="U31">
        <v>1300</v>
      </c>
      <c r="V31">
        <v>107.57</v>
      </c>
      <c r="W31">
        <v>-1043477.5</v>
      </c>
      <c r="X31">
        <v>-1340668.8999999999</v>
      </c>
      <c r="Y31">
        <v>228.60900000000001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2025-02-24T04:47:23Z</dcterms:modified>
</cp:coreProperties>
</file>