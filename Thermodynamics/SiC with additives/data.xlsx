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Thermodynamics\SiC with additives\"/>
    </mc:Choice>
  </mc:AlternateContent>
  <xr:revisionPtr revIDLastSave="0" documentId="13_ncr:1_{B688998F-64FD-4958-AD9A-84B46EE69AFF}" xr6:coauthVersionLast="47" xr6:coauthVersionMax="47" xr10:uidLastSave="{00000000-0000-0000-0000-000000000000}"/>
  <bookViews>
    <workbookView xWindow="38290" yWindow="-110" windowWidth="38620" windowHeight="21100" activeTab="7" xr2:uid="{00000000-000D-0000-FFFF-FFFF00000000}"/>
  </bookViews>
  <sheets>
    <sheet name="B-C-B4C" sheetId="7" r:id="rId1"/>
    <sheet name="SiC-B4C" sheetId="1" r:id="rId2"/>
    <sheet name="Fe3C" sheetId="2" r:id="rId3"/>
    <sheet name="FeSi" sheetId="3" r:id="rId4"/>
    <sheet name="Ti5Si3" sheetId="4" r:id="rId5"/>
    <sheet name="TiC" sheetId="5" r:id="rId6"/>
    <sheet name="Ti-C-Tic" sheetId="10" r:id="rId7"/>
    <sheet name="Si-C-SiC" sheetId="6" r:id="rId8"/>
    <sheet name="SiC-SiB6" sheetId="8" r:id="rId9"/>
    <sheet name="Fe-C-Fe3C" sheetId="9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9" i="7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13" i="10"/>
  <c r="B1" i="9" a="1"/>
  <c r="B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11" i="9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9" i="8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9" i="6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10" i="5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14" i="4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12" i="3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12" i="2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<sst xmlns="http://schemas.openxmlformats.org/spreadsheetml/2006/main" count="523" uniqueCount="99">
  <si>
    <t>4  B + SiC =</t>
  </si>
  <si>
    <t>B4C + Si</t>
  </si>
  <si>
    <t>(T)    (T)</t>
  </si>
  <si>
    <t>(T)   (T)</t>
  </si>
  <si>
    <t>____ _ ___</t>
  </si>
  <si>
    <t>_ ___ _ ___</t>
  </si>
  <si>
    <t>T(C)</t>
  </si>
  <si>
    <t>Delta_H*(J)</t>
  </si>
  <si>
    <t>Delta_G*(J)</t>
  </si>
  <si>
    <t>Delta_Vol(litre)</t>
  </si>
  <si>
    <t>Delta_S*(J/K)</t>
  </si>
  <si>
    <t>Delta_Cp(J/K}</t>
  </si>
  <si>
    <t>Keq        T</t>
  </si>
  <si>
    <t>___________</t>
  </si>
  <si>
    <t>______________</t>
  </si>
  <si>
    <t>________________</t>
  </si>
  <si>
    <t>_____________</t>
  </si>
  <si>
    <t>__________ _</t>
  </si>
  <si>
    <t>------</t>
  </si>
  <si>
    <t>B(s1-FSstel)</t>
  </si>
  <si>
    <t>SiC(s2-FactPS)</t>
  </si>
  <si>
    <t>B4C(s-FactPS)</t>
  </si>
  <si>
    <t>Si(l-FactPS)</t>
  </si>
  <si>
    <t>B(l-FSstel)</t>
  </si>
  <si>
    <t>B(1 mol):</t>
  </si>
  <si>
    <t>DH* = 50200.0</t>
  </si>
  <si>
    <t>DG* = 0</t>
  </si>
  <si>
    <t>DS* = 21.380</t>
  </si>
  <si>
    <t>B4C(l-FactPS)</t>
  </si>
  <si>
    <t>B4C(1 mol):</t>
  </si>
  <si>
    <t>DH* = 104600.0</t>
  </si>
  <si>
    <t>DS* = 38.134</t>
  </si>
  <si>
    <t xml:space="preserve">Temperature </t>
  </si>
  <si>
    <t>Delta G</t>
  </si>
  <si>
    <t>3  Fe + SiC</t>
  </si>
  <si>
    <t>(T)     (T)</t>
  </si>
  <si>
    <t>_____ _ __</t>
  </si>
  <si>
    <t>_ _ ____ _ ___</t>
  </si>
  <si>
    <t>__________</t>
  </si>
  <si>
    <t>Fe(s1-FSstel)</t>
  </si>
  <si>
    <t>Fe3C(s1-FactPS)</t>
  </si>
  <si>
    <t>--</t>
  </si>
  <si>
    <t>Fe(l-FSstel)</t>
  </si>
  <si>
    <t>---</t>
  </si>
  <si>
    <t>Fe(1 mol):</t>
  </si>
  <si>
    <t>DH* = 13806.9</t>
  </si>
  <si>
    <t>DS* = 7.624</t>
  </si>
  <si>
    <t>Fe(g-FactPS)</t>
  </si>
  <si>
    <t>DH* = 349573.0</t>
  </si>
  <si>
    <t>DS* = 111.507</t>
  </si>
  <si>
    <t>Fe  + SiC =</t>
  </si>
  <si>
    <t>FeSi + C</t>
  </si>
  <si>
    <t>___ _ ___</t>
  </si>
  <si>
    <t>_ ____ _ ___</t>
  </si>
  <si>
    <t>Keq</t>
  </si>
  <si>
    <t>T</t>
  </si>
  <si>
    <t>_</t>
  </si>
  <si>
    <t>FeSi(s-FSstel)</t>
  </si>
  <si>
    <t>C(s1-FactPS)</t>
  </si>
  <si>
    <t>----</t>
  </si>
  <si>
    <t>5  Ti + 3</t>
  </si>
  <si>
    <t>SiC = Ti5Si3 +</t>
  </si>
  <si>
    <t>3  C</t>
  </si>
  <si>
    <t>(T,s)</t>
  </si>
  <si>
    <t>(T)</t>
  </si>
  <si>
    <t>____ _ ______</t>
  </si>
  <si>
    <t>_ ____</t>
  </si>
  <si>
    <t>Ti(s2-FSstel)</t>
  </si>
  <si>
    <t>Ti5Si3(s-FSstel)</t>
  </si>
  <si>
    <t>-</t>
  </si>
  <si>
    <t>Ti(l-FSstel)</t>
  </si>
  <si>
    <t>Ti(1 mol):</t>
  </si>
  <si>
    <t>DH* = 14146.0</t>
  </si>
  <si>
    <t>DS* = 7.288</t>
  </si>
  <si>
    <t>Ti  + SiC =</t>
  </si>
  <si>
    <t>TiC   + Si</t>
  </si>
  <si>
    <t>(T,s)   (T)</t>
  </si>
  <si>
    <t>_ _____ _ ___</t>
  </si>
  <si>
    <t>TiC(s-FactPS)</t>
  </si>
  <si>
    <t>C   + S</t>
  </si>
  <si>
    <t>i  = SiC</t>
  </si>
  <si>
    <t>(T)   (</t>
  </si>
  <si>
    <t>T)   (T)</t>
  </si>
  <si>
    <t>___ _</t>
  </si>
  <si>
    <t>_______</t>
  </si>
  <si>
    <t>____________</t>
  </si>
  <si>
    <t>4  B + C   =</t>
  </si>
  <si>
    <t>B4C</t>
  </si>
  <si>
    <t>_ ___</t>
  </si>
  <si>
    <t>SiC + 6  B</t>
  </si>
  <si>
    <t>= SiB6  + C</t>
  </si>
  <si>
    <t>_ _ _____ _ ___</t>
  </si>
  <si>
    <t>_________</t>
  </si>
  <si>
    <t>SiB6(s-FactPS)</t>
  </si>
  <si>
    <t>3  Fe + C</t>
  </si>
  <si>
    <t>_ _ ____</t>
  </si>
  <si>
    <t>Ti  + C   =</t>
  </si>
  <si>
    <t>TiC</t>
  </si>
  <si>
    <t>_ 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</si>
</sst>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6638-9D83-41F4-B9F9-CFEF8B70F8FF}">
  <dimension ref="A1:N33"/>
  <sheetViews>
    <sheetView zoomScale="145" zoomScaleNormal="145" workbookViewId="0">
      <selection activeCell="N15" sqref="N15"/>
    </sheetView>
  </sheetViews>
  <sheetFormatPr defaultRowHeight="14.5" x14ac:dyDescent="0.35"/>
  <sheetData>
    <row r="1" spans="1:14" x14ac:dyDescent="0.35">
      <c r="A1" t="s">
        <v>86</v>
      </c>
      <c r="B1" t="s">
        <v>87</v>
      </c>
    </row>
    <row r="2" spans="1:14" x14ac:dyDescent="0.35">
      <c r="A2" t="s">
        <v>2</v>
      </c>
      <c r="B2" t="s">
        <v>64</v>
      </c>
    </row>
    <row r="3" spans="1:14" x14ac:dyDescent="0.35">
      <c r="A3" t="s">
        <v>4</v>
      </c>
      <c r="B3" t="s">
        <v>88</v>
      </c>
    </row>
    <row r="5" spans="1:14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4" x14ac:dyDescent="0.35">
      <c r="A6" t="s">
        <v>13</v>
      </c>
      <c r="B6" t="s">
        <v>14</v>
      </c>
      <c r="C6" t="s">
        <v>85</v>
      </c>
      <c r="D6" t="s">
        <v>15</v>
      </c>
      <c r="E6" t="s">
        <v>16</v>
      </c>
      <c r="F6" t="s">
        <v>16</v>
      </c>
      <c r="G6" t="s">
        <v>17</v>
      </c>
    </row>
    <row r="8" spans="1:14" x14ac:dyDescent="0.35">
      <c r="A8" t="s">
        <v>18</v>
      </c>
      <c r="B8" t="s">
        <v>19</v>
      </c>
      <c r="C8" t="s">
        <v>58</v>
      </c>
      <c r="D8" t="s">
        <v>21</v>
      </c>
      <c r="E8" t="s">
        <v>18</v>
      </c>
    </row>
    <row r="9" spans="1:14" x14ac:dyDescent="0.35">
      <c r="A9">
        <v>1500</v>
      </c>
      <c r="B9">
        <v>-69679.100000000006</v>
      </c>
      <c r="C9">
        <v>-55724.1</v>
      </c>
      <c r="D9" s="1">
        <v>0</v>
      </c>
      <c r="E9">
        <v>-7.87</v>
      </c>
      <c r="F9" s="1">
        <v>-4.9882</v>
      </c>
      <c r="G9" s="1">
        <v>43.804000000000002</v>
      </c>
      <c r="J9">
        <v>1500</v>
      </c>
      <c r="L9">
        <v>-55724.1</v>
      </c>
      <c r="M9">
        <f>L9/1000</f>
        <v>-55.7241</v>
      </c>
      <c r="N9">
        <f>M9/4</f>
        <v>-13.931025</v>
      </c>
    </row>
    <row r="10" spans="1:14" x14ac:dyDescent="0.35">
      <c r="A10">
        <v>1600</v>
      </c>
      <c r="B10">
        <v>-70134.8</v>
      </c>
      <c r="C10">
        <v>-54924</v>
      </c>
      <c r="D10" s="1">
        <v>0</v>
      </c>
      <c r="E10">
        <v>-8.1199999999999992</v>
      </c>
      <c r="F10" s="1">
        <v>-4.1184000000000003</v>
      </c>
      <c r="G10" s="1">
        <v>34.006999999999998</v>
      </c>
      <c r="J10">
        <v>1600</v>
      </c>
      <c r="L10">
        <v>-54924</v>
      </c>
      <c r="M10">
        <f t="shared" ref="M10:M25" si="0">L10/1000</f>
        <v>-54.923999999999999</v>
      </c>
      <c r="N10">
        <f t="shared" ref="N10:N25" si="1">M10/4</f>
        <v>-13.731</v>
      </c>
    </row>
    <row r="11" spans="1:14" x14ac:dyDescent="0.35">
      <c r="A11">
        <v>1700</v>
      </c>
      <c r="B11">
        <v>-70501.3</v>
      </c>
      <c r="C11">
        <v>-54101.9</v>
      </c>
      <c r="D11" s="1">
        <v>0</v>
      </c>
      <c r="E11">
        <v>-8.3109999999999999</v>
      </c>
      <c r="F11" s="1">
        <v>-3.2033</v>
      </c>
      <c r="G11" s="1">
        <v>27.050999999999998</v>
      </c>
      <c r="J11">
        <v>1700</v>
      </c>
      <c r="L11">
        <v>-54101.9</v>
      </c>
      <c r="M11">
        <f t="shared" si="0"/>
        <v>-54.101900000000001</v>
      </c>
      <c r="N11">
        <f t="shared" si="1"/>
        <v>-13.525475</v>
      </c>
    </row>
    <row r="12" spans="1:14" x14ac:dyDescent="0.35">
      <c r="A12">
        <v>1800</v>
      </c>
      <c r="B12">
        <v>-70774.3</v>
      </c>
      <c r="C12">
        <v>-53263.6</v>
      </c>
      <c r="D12" s="1">
        <v>0</v>
      </c>
      <c r="E12">
        <v>-8.4459999999999997</v>
      </c>
      <c r="F12" s="1">
        <v>-2.2532999999999999</v>
      </c>
      <c r="G12" s="1">
        <v>21.978000000000002</v>
      </c>
      <c r="J12">
        <v>1800</v>
      </c>
      <c r="L12">
        <v>-53263.6</v>
      </c>
      <c r="M12">
        <f t="shared" si="0"/>
        <v>-53.263599999999997</v>
      </c>
      <c r="N12">
        <f t="shared" si="1"/>
        <v>-13.315899999999999</v>
      </c>
    </row>
    <row r="13" spans="1:14" x14ac:dyDescent="0.35">
      <c r="A13">
        <v>1900</v>
      </c>
      <c r="B13">
        <v>-70951</v>
      </c>
      <c r="C13">
        <v>-52414.400000000001</v>
      </c>
      <c r="D13" s="1">
        <v>0</v>
      </c>
      <c r="E13">
        <v>-8.5299999999999994</v>
      </c>
      <c r="F13" s="1">
        <v>-1.2763</v>
      </c>
      <c r="G13" s="1">
        <v>18.189</v>
      </c>
      <c r="J13">
        <v>1900</v>
      </c>
      <c r="L13">
        <v>-52414.400000000001</v>
      </c>
      <c r="M13">
        <f t="shared" si="0"/>
        <v>-52.414400000000001</v>
      </c>
      <c r="N13">
        <f t="shared" si="1"/>
        <v>-13.1036</v>
      </c>
    </row>
    <row r="14" spans="1:14" x14ac:dyDescent="0.35">
      <c r="A14">
        <v>2000</v>
      </c>
      <c r="B14">
        <v>-71028.899999999994</v>
      </c>
      <c r="C14">
        <v>-51559.3</v>
      </c>
      <c r="D14" s="1">
        <v>0</v>
      </c>
      <c r="E14">
        <v>-8.5649999999999995</v>
      </c>
      <c r="F14" s="1">
        <v>-0.27786</v>
      </c>
      <c r="G14" s="1">
        <v>15.302</v>
      </c>
      <c r="J14">
        <v>2000</v>
      </c>
      <c r="L14">
        <v>-51559.3</v>
      </c>
      <c r="M14">
        <f t="shared" si="0"/>
        <v>-51.5593</v>
      </c>
      <c r="N14">
        <f t="shared" si="1"/>
        <v>-12.889825</v>
      </c>
    </row>
    <row r="15" spans="1:14" x14ac:dyDescent="0.35">
      <c r="A15">
        <v>2074.85</v>
      </c>
      <c r="B15">
        <v>-71021.3</v>
      </c>
      <c r="C15">
        <v>-50918.1</v>
      </c>
      <c r="D15" s="1">
        <v>0</v>
      </c>
      <c r="E15">
        <v>-8.5619999999999994</v>
      </c>
      <c r="F15" s="1">
        <v>0.48086000000000001</v>
      </c>
      <c r="G15" s="1">
        <v>13.574</v>
      </c>
      <c r="J15">
        <v>2100</v>
      </c>
      <c r="L15">
        <v>-48551.5</v>
      </c>
      <c r="M15">
        <f t="shared" si="0"/>
        <v>-48.551499999999997</v>
      </c>
      <c r="N15">
        <f t="shared" si="1"/>
        <v>-12.137874999999999</v>
      </c>
    </row>
    <row r="16" spans="1:14" x14ac:dyDescent="0.35">
      <c r="A16" t="s">
        <v>18</v>
      </c>
      <c r="B16" t="s">
        <v>23</v>
      </c>
      <c r="C16" t="s">
        <v>58</v>
      </c>
      <c r="D16" t="s">
        <v>21</v>
      </c>
      <c r="E16" t="s">
        <v>18</v>
      </c>
      <c r="J16">
        <v>2200</v>
      </c>
      <c r="L16">
        <v>-39137.300000000003</v>
      </c>
      <c r="M16">
        <f t="shared" si="0"/>
        <v>-39.137300000000003</v>
      </c>
      <c r="N16">
        <f t="shared" si="1"/>
        <v>-9.7843250000000008</v>
      </c>
    </row>
    <row r="17" spans="1:14" x14ac:dyDescent="0.35">
      <c r="A17" t="s">
        <v>24</v>
      </c>
      <c r="B17" t="s">
        <v>25</v>
      </c>
      <c r="C17" t="s">
        <v>26</v>
      </c>
      <c r="D17" t="s">
        <v>18</v>
      </c>
      <c r="E17" t="s">
        <v>27</v>
      </c>
      <c r="J17">
        <v>2300</v>
      </c>
      <c r="L17">
        <v>-29722.3</v>
      </c>
      <c r="M17">
        <f t="shared" si="0"/>
        <v>-29.722300000000001</v>
      </c>
      <c r="N17">
        <f t="shared" si="1"/>
        <v>-7.4305750000000002</v>
      </c>
    </row>
    <row r="18" spans="1:14" x14ac:dyDescent="0.35">
      <c r="A18">
        <v>2074.85</v>
      </c>
      <c r="B18">
        <v>-271821.40000000002</v>
      </c>
      <c r="C18">
        <v>-50918.1</v>
      </c>
      <c r="D18" s="1">
        <v>0</v>
      </c>
      <c r="E18">
        <v>-94.081000000000003</v>
      </c>
      <c r="F18" s="1">
        <v>-2.8639000000000001</v>
      </c>
      <c r="G18" s="1">
        <v>13.574</v>
      </c>
      <c r="J18">
        <v>2400</v>
      </c>
      <c r="L18">
        <v>-20315.2</v>
      </c>
      <c r="M18">
        <f t="shared" si="0"/>
        <v>-20.315200000000001</v>
      </c>
      <c r="N18">
        <f t="shared" si="1"/>
        <v>-5.0788000000000002</v>
      </c>
    </row>
    <row r="19" spans="1:14" x14ac:dyDescent="0.35">
      <c r="A19">
        <v>2100</v>
      </c>
      <c r="B19">
        <v>-271886.59999999998</v>
      </c>
      <c r="C19">
        <v>-48551.5</v>
      </c>
      <c r="D19" s="1">
        <v>0</v>
      </c>
      <c r="E19">
        <v>-94.108999999999995</v>
      </c>
      <c r="F19" s="1">
        <v>-2.3201999999999998</v>
      </c>
      <c r="G19" s="1">
        <v>11.712</v>
      </c>
      <c r="J19">
        <v>2469.85</v>
      </c>
      <c r="L19">
        <v>-13753</v>
      </c>
      <c r="M19">
        <f t="shared" si="0"/>
        <v>-13.753</v>
      </c>
      <c r="N19">
        <f t="shared" si="1"/>
        <v>-3.43825</v>
      </c>
    </row>
    <row r="20" spans="1:14" x14ac:dyDescent="0.35">
      <c r="A20">
        <v>2200</v>
      </c>
      <c r="B20">
        <v>-272010.5</v>
      </c>
      <c r="C20">
        <v>-39137.300000000003</v>
      </c>
      <c r="D20" s="1">
        <v>0</v>
      </c>
      <c r="E20">
        <v>-94.161000000000001</v>
      </c>
      <c r="F20" s="1">
        <v>-0.15805</v>
      </c>
      <c r="G20" s="1">
        <v>6.7079000000000004</v>
      </c>
      <c r="J20">
        <v>2500</v>
      </c>
      <c r="L20">
        <v>-12069.6</v>
      </c>
      <c r="M20">
        <f t="shared" si="0"/>
        <v>-12.069600000000001</v>
      </c>
      <c r="N20">
        <f t="shared" si="1"/>
        <v>-3.0174000000000003</v>
      </c>
    </row>
    <row r="21" spans="1:14" x14ac:dyDescent="0.35">
      <c r="A21">
        <v>2300</v>
      </c>
      <c r="B21">
        <v>-271918.09999999998</v>
      </c>
      <c r="C21">
        <v>-29722.3</v>
      </c>
      <c r="D21" s="1">
        <v>0</v>
      </c>
      <c r="E21">
        <v>-94.123999999999995</v>
      </c>
      <c r="F21" s="1">
        <v>2.0055999999999998</v>
      </c>
      <c r="G21" s="1">
        <v>4.0118999999999998</v>
      </c>
      <c r="J21">
        <v>2600</v>
      </c>
      <c r="L21">
        <v>-6449.2</v>
      </c>
      <c r="M21">
        <f t="shared" si="0"/>
        <v>-6.4491999999999994</v>
      </c>
      <c r="N21">
        <f t="shared" si="1"/>
        <v>-1.6122999999999998</v>
      </c>
    </row>
    <row r="22" spans="1:14" x14ac:dyDescent="0.35">
      <c r="A22">
        <v>2400</v>
      </c>
      <c r="B22">
        <v>-271609.2</v>
      </c>
      <c r="C22">
        <v>-20315.2</v>
      </c>
      <c r="D22" s="1">
        <v>0</v>
      </c>
      <c r="E22">
        <v>-94.007000000000005</v>
      </c>
      <c r="F22" s="1">
        <v>4.1723999999999997</v>
      </c>
      <c r="G22" s="1">
        <v>2.4944000000000002</v>
      </c>
      <c r="J22">
        <v>2700</v>
      </c>
      <c r="L22">
        <v>-772.8</v>
      </c>
      <c r="M22">
        <f t="shared" si="0"/>
        <v>-0.77279999999999993</v>
      </c>
      <c r="N22">
        <f t="shared" si="1"/>
        <v>-0.19319999999999998</v>
      </c>
    </row>
    <row r="23" spans="1:14" x14ac:dyDescent="0.35">
      <c r="A23">
        <v>2469.85</v>
      </c>
      <c r="B23">
        <v>-271264.90000000002</v>
      </c>
      <c r="C23">
        <v>-13753</v>
      </c>
      <c r="D23" s="1">
        <v>0</v>
      </c>
      <c r="E23">
        <v>-93.88</v>
      </c>
      <c r="F23" s="1">
        <v>5.6886000000000001</v>
      </c>
      <c r="G23" s="1">
        <v>1.8275999999999999</v>
      </c>
      <c r="J23">
        <v>2800</v>
      </c>
      <c r="L23">
        <v>4958.1000000000004</v>
      </c>
      <c r="M23">
        <f t="shared" si="0"/>
        <v>4.9581</v>
      </c>
      <c r="N23">
        <f t="shared" si="1"/>
        <v>1.239525</v>
      </c>
    </row>
    <row r="24" spans="1:14" x14ac:dyDescent="0.35">
      <c r="A24" t="s">
        <v>18</v>
      </c>
      <c r="B24" t="s">
        <v>23</v>
      </c>
      <c r="C24" t="s">
        <v>58</v>
      </c>
      <c r="D24" t="s">
        <v>28</v>
      </c>
      <c r="E24" t="s">
        <v>18</v>
      </c>
      <c r="J24">
        <v>2900</v>
      </c>
      <c r="L24">
        <v>10742.1</v>
      </c>
      <c r="M24">
        <f t="shared" si="0"/>
        <v>10.742100000000001</v>
      </c>
      <c r="N24">
        <f t="shared" si="1"/>
        <v>2.6855250000000002</v>
      </c>
    </row>
    <row r="25" spans="1:14" x14ac:dyDescent="0.35">
      <c r="A25" t="s">
        <v>29</v>
      </c>
      <c r="B25" t="s">
        <v>30</v>
      </c>
      <c r="C25" t="s">
        <v>26</v>
      </c>
      <c r="D25" t="s">
        <v>18</v>
      </c>
      <c r="E25" t="s">
        <v>31</v>
      </c>
      <c r="J25">
        <v>3000</v>
      </c>
      <c r="L25">
        <v>16577.900000000001</v>
      </c>
      <c r="M25">
        <f t="shared" si="0"/>
        <v>16.577900000000003</v>
      </c>
      <c r="N25">
        <f t="shared" si="1"/>
        <v>4.1444750000000008</v>
      </c>
    </row>
    <row r="26" spans="1:14" x14ac:dyDescent="0.35">
      <c r="A26">
        <v>2469.85</v>
      </c>
      <c r="B26">
        <v>-166664.9</v>
      </c>
      <c r="C26">
        <v>-13753</v>
      </c>
      <c r="D26" s="1">
        <v>0</v>
      </c>
      <c r="E26">
        <v>-55.746000000000002</v>
      </c>
      <c r="F26" s="1">
        <v>-15.887</v>
      </c>
      <c r="G26" s="1">
        <v>1.8275999999999999</v>
      </c>
    </row>
    <row r="27" spans="1:14" x14ac:dyDescent="0.35">
      <c r="A27">
        <v>2500</v>
      </c>
      <c r="B27">
        <v>-167144.5</v>
      </c>
      <c r="C27">
        <v>-12069.6</v>
      </c>
      <c r="D27" s="1">
        <v>0</v>
      </c>
      <c r="E27">
        <v>-55.92</v>
      </c>
      <c r="F27" s="1">
        <v>-15.928000000000001</v>
      </c>
      <c r="G27" s="1">
        <v>1.6879</v>
      </c>
    </row>
    <row r="28" spans="1:14" x14ac:dyDescent="0.35">
      <c r="A28">
        <v>2600</v>
      </c>
      <c r="B28">
        <v>-168744</v>
      </c>
      <c r="C28">
        <v>-6449.2</v>
      </c>
      <c r="D28" s="1">
        <v>0</v>
      </c>
      <c r="E28">
        <v>-56.487000000000002</v>
      </c>
      <c r="F28" s="1">
        <v>-16.062999999999999</v>
      </c>
      <c r="G28" s="1">
        <v>1.3099000000000001</v>
      </c>
    </row>
    <row r="29" spans="1:14" x14ac:dyDescent="0.35">
      <c r="A29">
        <v>2700</v>
      </c>
      <c r="B29">
        <v>-170356.9</v>
      </c>
      <c r="C29">
        <v>-772.8</v>
      </c>
      <c r="D29" s="1">
        <v>0</v>
      </c>
      <c r="E29">
        <v>-57.039000000000001</v>
      </c>
      <c r="F29" s="1">
        <v>-16.193999999999999</v>
      </c>
      <c r="G29" s="1">
        <v>1.0318000000000001</v>
      </c>
    </row>
    <row r="30" spans="1:14" x14ac:dyDescent="0.35">
      <c r="A30">
        <v>2800</v>
      </c>
      <c r="B30">
        <v>-171982.8</v>
      </c>
      <c r="C30">
        <v>4958.1000000000004</v>
      </c>
      <c r="D30" s="1">
        <v>0</v>
      </c>
      <c r="E30">
        <v>-57.576000000000001</v>
      </c>
      <c r="F30" s="1">
        <v>-16.323</v>
      </c>
      <c r="G30" s="1">
        <v>0.82362000000000002</v>
      </c>
    </row>
    <row r="31" spans="1:14" x14ac:dyDescent="0.35">
      <c r="A31">
        <v>2900</v>
      </c>
      <c r="B31">
        <v>-173621.5</v>
      </c>
      <c r="C31">
        <v>10742.1</v>
      </c>
      <c r="D31" s="1">
        <v>0</v>
      </c>
      <c r="E31">
        <v>-58.100999999999999</v>
      </c>
      <c r="F31" s="1">
        <v>-16.449000000000002</v>
      </c>
      <c r="G31" s="1">
        <v>0.66554000000000002</v>
      </c>
    </row>
    <row r="32" spans="1:14" x14ac:dyDescent="0.35">
      <c r="A32">
        <v>3000</v>
      </c>
      <c r="B32">
        <v>-175272.6</v>
      </c>
      <c r="C32">
        <v>16577.900000000001</v>
      </c>
      <c r="D32" s="1">
        <v>0</v>
      </c>
      <c r="E32">
        <v>-58.613</v>
      </c>
      <c r="F32" s="1">
        <v>-16.573</v>
      </c>
      <c r="G32" s="1">
        <v>0.54381000000000002</v>
      </c>
    </row>
    <row r="33" spans="1:7" x14ac:dyDescent="0.35">
      <c r="A33" t="s">
        <v>13</v>
      </c>
      <c r="B33" t="s">
        <v>14</v>
      </c>
      <c r="C33" t="s">
        <v>85</v>
      </c>
      <c r="D33" t="s">
        <v>15</v>
      </c>
      <c r="E33" t="s">
        <v>16</v>
      </c>
      <c r="F33" t="s">
        <v>16</v>
      </c>
      <c r="G33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selection activeCell="N14" sqref="N14"/>
    </sheetView>
  </sheetViews>
  <sheetFormatPr defaultRowHeight="14.5" x14ac:dyDescent="0.35"/>
  <cols>
    <col min="1" max="1" width="43.08984375" customWidth="1"/>
    <col min="2" max="2" width="16.36328125" customWidth="1"/>
    <col min="3" max="3" width="14.54296875" customWidth="1"/>
    <col min="11" max="11" width="31.7265625" customWidth="1"/>
    <col min="12" max="12" width="51.6328125" customWidth="1"/>
  </cols>
  <sheetData>
    <row r="1" spans="1:14" x14ac:dyDescent="0.35">
      <c r="A1" t="s">
        <v>0</v>
      </c>
      <c r="B1" t="s">
        <v>1</v>
      </c>
    </row>
    <row r="2" spans="1:14" x14ac:dyDescent="0.35">
      <c r="A2" t="s">
        <v>2</v>
      </c>
      <c r="B2" t="s">
        <v>3</v>
      </c>
    </row>
    <row r="3" spans="1:14" x14ac:dyDescent="0.35">
      <c r="A3" t="s">
        <v>4</v>
      </c>
      <c r="B3" t="s">
        <v>5</v>
      </c>
    </row>
    <row r="5" spans="1:14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4" x14ac:dyDescent="0.35">
      <c r="A6" t="s">
        <v>13</v>
      </c>
      <c r="B6" t="s">
        <v>14</v>
      </c>
      <c r="C6" t="s">
        <v>14</v>
      </c>
      <c r="D6" t="s">
        <v>15</v>
      </c>
      <c r="E6" t="s">
        <v>16</v>
      </c>
      <c r="F6" t="s">
        <v>16</v>
      </c>
      <c r="G6" t="s">
        <v>17</v>
      </c>
    </row>
    <row r="7" spans="1:14" x14ac:dyDescent="0.35">
      <c r="K7" t="s">
        <v>32</v>
      </c>
      <c r="L7" t="s">
        <v>33</v>
      </c>
    </row>
    <row r="8" spans="1:14" x14ac:dyDescent="0.3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18</v>
      </c>
      <c r="K8">
        <v>1500</v>
      </c>
      <c r="L8">
        <v>1177</v>
      </c>
      <c r="M8">
        <f>L8/1000</f>
        <v>1.177</v>
      </c>
      <c r="N8">
        <f>M8/4</f>
        <v>0.29425000000000001</v>
      </c>
    </row>
    <row r="9" spans="1:14" x14ac:dyDescent="0.35">
      <c r="A9">
        <v>1500</v>
      </c>
      <c r="B9">
        <v>53388.4</v>
      </c>
      <c r="C9">
        <v>1177</v>
      </c>
      <c r="D9" s="1">
        <v>0</v>
      </c>
      <c r="E9">
        <v>29.446000000000002</v>
      </c>
      <c r="F9" s="1">
        <v>-6.2458999999999998</v>
      </c>
      <c r="G9" s="1">
        <v>0.92327000000000004</v>
      </c>
      <c r="K9">
        <v>1600</v>
      </c>
      <c r="L9">
        <v>-1750.9</v>
      </c>
      <c r="M9">
        <f t="shared" ref="M9:M25" si="0">L9/1000</f>
        <v>-1.7509000000000001</v>
      </c>
      <c r="N9">
        <f t="shared" ref="N9:N25" si="1">M9/4</f>
        <v>-0.43772500000000003</v>
      </c>
    </row>
    <row r="10" spans="1:14" x14ac:dyDescent="0.35">
      <c r="A10">
        <v>1600</v>
      </c>
      <c r="B10">
        <v>52800.6</v>
      </c>
      <c r="C10">
        <v>-1750.9</v>
      </c>
      <c r="D10" s="1">
        <v>0</v>
      </c>
      <c r="E10">
        <v>29.123000000000001</v>
      </c>
      <c r="F10" s="1">
        <v>-5.4969000000000001</v>
      </c>
      <c r="G10" s="1">
        <v>1.119</v>
      </c>
      <c r="K10">
        <v>1700</v>
      </c>
      <c r="L10">
        <v>-4649.5</v>
      </c>
      <c r="M10">
        <f t="shared" si="0"/>
        <v>-4.6494999999999997</v>
      </c>
      <c r="N10">
        <f t="shared" si="1"/>
        <v>-1.1623749999999999</v>
      </c>
    </row>
    <row r="11" spans="1:14" x14ac:dyDescent="0.35">
      <c r="A11">
        <v>1700</v>
      </c>
      <c r="B11">
        <v>52291</v>
      </c>
      <c r="C11">
        <v>-4649.5</v>
      </c>
      <c r="D11" s="1">
        <v>0</v>
      </c>
      <c r="E11">
        <v>28.858000000000001</v>
      </c>
      <c r="F11" s="1">
        <v>-4.6878000000000002</v>
      </c>
      <c r="G11" s="1">
        <v>1.3275999999999999</v>
      </c>
      <c r="K11">
        <v>1800</v>
      </c>
      <c r="L11">
        <v>-7524.2</v>
      </c>
      <c r="M11">
        <f t="shared" si="0"/>
        <v>-7.5241999999999996</v>
      </c>
      <c r="N11">
        <f t="shared" si="1"/>
        <v>-1.8810499999999999</v>
      </c>
    </row>
    <row r="12" spans="1:14" x14ac:dyDescent="0.35">
      <c r="A12">
        <v>1800</v>
      </c>
      <c r="B12">
        <v>51864.7</v>
      </c>
      <c r="C12">
        <v>-7524.2</v>
      </c>
      <c r="D12" s="1">
        <v>0</v>
      </c>
      <c r="E12">
        <v>28.646999999999998</v>
      </c>
      <c r="F12" s="1">
        <v>-3.8306</v>
      </c>
      <c r="G12" s="1">
        <v>1.5472999999999999</v>
      </c>
      <c r="K12">
        <v>1900</v>
      </c>
      <c r="L12">
        <v>-10380.5</v>
      </c>
      <c r="M12">
        <f t="shared" si="0"/>
        <v>-10.3805</v>
      </c>
      <c r="N12">
        <f t="shared" si="1"/>
        <v>-2.5951249999999999</v>
      </c>
    </row>
    <row r="13" spans="1:14" x14ac:dyDescent="0.35">
      <c r="A13">
        <v>1900</v>
      </c>
      <c r="B13">
        <v>51526.1</v>
      </c>
      <c r="C13">
        <v>-10380.5</v>
      </c>
      <c r="D13" s="1">
        <v>0</v>
      </c>
      <c r="E13">
        <v>28.486999999999998</v>
      </c>
      <c r="F13" s="1">
        <v>-2.9344000000000001</v>
      </c>
      <c r="G13" s="1">
        <v>1.7762</v>
      </c>
      <c r="K13">
        <v>2000</v>
      </c>
      <c r="L13">
        <v>-13223.3</v>
      </c>
      <c r="M13">
        <f t="shared" si="0"/>
        <v>-13.2233</v>
      </c>
      <c r="N13">
        <f t="shared" si="1"/>
        <v>-3.305825</v>
      </c>
    </row>
    <row r="14" spans="1:14" x14ac:dyDescent="0.35">
      <c r="A14">
        <v>2000</v>
      </c>
      <c r="B14">
        <v>51278.9</v>
      </c>
      <c r="C14">
        <v>-13223.3</v>
      </c>
      <c r="D14" s="1">
        <v>0</v>
      </c>
      <c r="E14">
        <v>28.376000000000001</v>
      </c>
      <c r="F14" s="1">
        <v>-2.0059</v>
      </c>
      <c r="G14" s="1">
        <v>2.0129999999999999</v>
      </c>
      <c r="K14">
        <v>2074.85</v>
      </c>
      <c r="L14">
        <v>-15345</v>
      </c>
      <c r="M14">
        <f t="shared" si="0"/>
        <v>-15.345000000000001</v>
      </c>
      <c r="N14">
        <f t="shared" si="1"/>
        <v>-3.8362500000000002</v>
      </c>
    </row>
    <row r="15" spans="1:14" x14ac:dyDescent="0.35">
      <c r="A15">
        <v>2074.85</v>
      </c>
      <c r="B15">
        <v>51155.3</v>
      </c>
      <c r="C15">
        <v>-15345</v>
      </c>
      <c r="D15" s="1">
        <v>0</v>
      </c>
      <c r="E15">
        <v>28.321999999999999</v>
      </c>
      <c r="F15" s="1">
        <v>-1.2930999999999999</v>
      </c>
      <c r="G15" s="1">
        <v>2.1945999999999999</v>
      </c>
      <c r="K15">
        <v>2100</v>
      </c>
      <c r="L15">
        <v>-13905.8</v>
      </c>
      <c r="M15">
        <f t="shared" si="0"/>
        <v>-13.905799999999999</v>
      </c>
      <c r="N15">
        <f t="shared" si="1"/>
        <v>-3.4764499999999998</v>
      </c>
    </row>
    <row r="16" spans="1:14" x14ac:dyDescent="0.35">
      <c r="A16" t="s">
        <v>18</v>
      </c>
      <c r="B16" t="s">
        <v>23</v>
      </c>
      <c r="C16" t="s">
        <v>20</v>
      </c>
      <c r="D16" t="s">
        <v>21</v>
      </c>
      <c r="E16" t="s">
        <v>22</v>
      </c>
      <c r="F16" t="s">
        <v>18</v>
      </c>
      <c r="K16">
        <v>2200</v>
      </c>
      <c r="L16">
        <v>-8174.3</v>
      </c>
      <c r="M16">
        <f t="shared" si="0"/>
        <v>-8.1743000000000006</v>
      </c>
      <c r="N16">
        <f t="shared" si="1"/>
        <v>-2.0435750000000001</v>
      </c>
    </row>
    <row r="17" spans="1:14" x14ac:dyDescent="0.35">
      <c r="A17" t="s">
        <v>24</v>
      </c>
      <c r="B17" t="s">
        <v>25</v>
      </c>
      <c r="C17" t="s">
        <v>26</v>
      </c>
      <c r="D17" t="s">
        <v>18</v>
      </c>
      <c r="E17" t="s">
        <v>27</v>
      </c>
      <c r="K17">
        <v>2300</v>
      </c>
      <c r="L17">
        <v>-2434.6999999999998</v>
      </c>
      <c r="M17">
        <f t="shared" si="0"/>
        <v>-2.4346999999999999</v>
      </c>
      <c r="N17">
        <f t="shared" si="1"/>
        <v>-0.60867499999999997</v>
      </c>
    </row>
    <row r="18" spans="1:14" x14ac:dyDescent="0.35">
      <c r="A18">
        <v>2074.85</v>
      </c>
      <c r="B18">
        <v>-149644.70000000001</v>
      </c>
      <c r="C18">
        <v>-15345</v>
      </c>
      <c r="D18" s="1">
        <v>0</v>
      </c>
      <c r="E18">
        <v>-57.198</v>
      </c>
      <c r="F18" s="1">
        <v>-4.6379000000000001</v>
      </c>
      <c r="G18" s="1">
        <v>2.1945999999999999</v>
      </c>
      <c r="K18">
        <v>2400</v>
      </c>
      <c r="L18">
        <v>3304.5</v>
      </c>
      <c r="M18">
        <f t="shared" si="0"/>
        <v>3.3045</v>
      </c>
      <c r="N18">
        <f t="shared" si="1"/>
        <v>0.826125</v>
      </c>
    </row>
    <row r="19" spans="1:14" x14ac:dyDescent="0.35">
      <c r="A19">
        <v>2100</v>
      </c>
      <c r="B19">
        <v>-149754.70000000001</v>
      </c>
      <c r="C19">
        <v>-13905.8</v>
      </c>
      <c r="D19" s="1">
        <v>0</v>
      </c>
      <c r="E19">
        <v>-57.244</v>
      </c>
      <c r="F19" s="1">
        <v>-4.1083999999999996</v>
      </c>
      <c r="G19" s="1">
        <v>2.0232999999999999</v>
      </c>
      <c r="K19">
        <v>2469.85</v>
      </c>
      <c r="L19">
        <v>7308.8</v>
      </c>
      <c r="M19">
        <f t="shared" si="0"/>
        <v>7.3087999999999997</v>
      </c>
      <c r="N19">
        <f t="shared" si="1"/>
        <v>1.8271999999999999</v>
      </c>
    </row>
    <row r="20" spans="1:14" x14ac:dyDescent="0.35">
      <c r="A20">
        <v>2200</v>
      </c>
      <c r="B20">
        <v>-150060</v>
      </c>
      <c r="C20">
        <v>-8174.3</v>
      </c>
      <c r="D20" s="1">
        <v>0</v>
      </c>
      <c r="E20">
        <v>-57.37</v>
      </c>
      <c r="F20" s="1">
        <v>-1.9973000000000001</v>
      </c>
      <c r="G20" s="1">
        <v>1.4881</v>
      </c>
      <c r="K20">
        <v>2500</v>
      </c>
      <c r="L20">
        <v>7889.2</v>
      </c>
      <c r="M20">
        <f t="shared" si="0"/>
        <v>7.8891999999999998</v>
      </c>
      <c r="N20">
        <f t="shared" si="1"/>
        <v>1.9722999999999999</v>
      </c>
    </row>
    <row r="21" spans="1:14" x14ac:dyDescent="0.35">
      <c r="A21">
        <v>2300</v>
      </c>
      <c r="B21">
        <v>-150153.79999999999</v>
      </c>
      <c r="C21">
        <v>-2434.6999999999998</v>
      </c>
      <c r="D21" s="1">
        <v>0</v>
      </c>
      <c r="E21">
        <v>-57.408000000000001</v>
      </c>
      <c r="F21" s="1">
        <v>0.1234</v>
      </c>
      <c r="G21" s="1">
        <v>1.1205000000000001</v>
      </c>
      <c r="K21">
        <v>2600</v>
      </c>
      <c r="L21">
        <v>9855.9</v>
      </c>
      <c r="M21">
        <f t="shared" si="0"/>
        <v>9.8559000000000001</v>
      </c>
      <c r="N21">
        <f t="shared" si="1"/>
        <v>2.463975</v>
      </c>
    </row>
    <row r="22" spans="1:14" x14ac:dyDescent="0.35">
      <c r="A22">
        <v>2400</v>
      </c>
      <c r="B22">
        <v>-150035</v>
      </c>
      <c r="C22">
        <v>3304.5</v>
      </c>
      <c r="D22" s="1">
        <v>0</v>
      </c>
      <c r="E22">
        <v>-57.363</v>
      </c>
      <c r="F22" s="1">
        <v>2.2547000000000001</v>
      </c>
      <c r="G22" s="1">
        <v>0.86185</v>
      </c>
      <c r="K22">
        <v>2700</v>
      </c>
      <c r="L22">
        <v>11885.3</v>
      </c>
      <c r="M22">
        <f t="shared" si="0"/>
        <v>11.885299999999999</v>
      </c>
      <c r="N22">
        <f t="shared" si="1"/>
        <v>2.9713249999999998</v>
      </c>
    </row>
    <row r="23" spans="1:14" x14ac:dyDescent="0.35">
      <c r="A23">
        <v>2469.85</v>
      </c>
      <c r="B23">
        <v>-149825.29999999999</v>
      </c>
      <c r="C23">
        <v>7308.8</v>
      </c>
      <c r="D23" s="1">
        <v>0</v>
      </c>
      <c r="E23">
        <v>-57.286000000000001</v>
      </c>
      <c r="F23" s="1">
        <v>3.7502</v>
      </c>
      <c r="G23" s="1">
        <v>0.72580999999999996</v>
      </c>
      <c r="K23">
        <v>2800</v>
      </c>
      <c r="L23">
        <v>13975.9</v>
      </c>
      <c r="M23">
        <f t="shared" si="0"/>
        <v>13.975899999999999</v>
      </c>
      <c r="N23">
        <f t="shared" si="1"/>
        <v>3.4939749999999998</v>
      </c>
    </row>
    <row r="24" spans="1:14" x14ac:dyDescent="0.35">
      <c r="A24" t="s">
        <v>18</v>
      </c>
      <c r="B24" t="s">
        <v>23</v>
      </c>
      <c r="C24" t="s">
        <v>20</v>
      </c>
      <c r="D24" t="s">
        <v>28</v>
      </c>
      <c r="E24" t="s">
        <v>22</v>
      </c>
      <c r="F24" t="s">
        <v>18</v>
      </c>
      <c r="K24">
        <v>2900</v>
      </c>
      <c r="L24">
        <v>16126.1</v>
      </c>
      <c r="M24">
        <f t="shared" si="0"/>
        <v>16.126100000000001</v>
      </c>
      <c r="N24">
        <f t="shared" si="1"/>
        <v>4.0315250000000002</v>
      </c>
    </row>
    <row r="25" spans="1:14" x14ac:dyDescent="0.35">
      <c r="A25" t="s">
        <v>29</v>
      </c>
      <c r="B25" t="s">
        <v>30</v>
      </c>
      <c r="C25" t="s">
        <v>26</v>
      </c>
      <c r="D25" t="s">
        <v>18</v>
      </c>
      <c r="E25" t="s">
        <v>31</v>
      </c>
      <c r="K25">
        <v>3000</v>
      </c>
      <c r="L25">
        <v>18334.400000000001</v>
      </c>
      <c r="M25">
        <f t="shared" si="0"/>
        <v>18.334400000000002</v>
      </c>
      <c r="N25">
        <f t="shared" si="1"/>
        <v>4.5836000000000006</v>
      </c>
    </row>
    <row r="26" spans="1:14" x14ac:dyDescent="0.35">
      <c r="A26">
        <v>2469.85</v>
      </c>
      <c r="B26">
        <v>-45225.3</v>
      </c>
      <c r="C26">
        <v>7308.8</v>
      </c>
      <c r="D26" s="1">
        <v>0</v>
      </c>
      <c r="E26">
        <v>-19.152000000000001</v>
      </c>
      <c r="F26" s="1">
        <v>-17.824999999999999</v>
      </c>
      <c r="G26" s="1">
        <v>0.72580999999999996</v>
      </c>
    </row>
    <row r="27" spans="1:14" x14ac:dyDescent="0.35">
      <c r="A27">
        <v>2500</v>
      </c>
      <c r="B27">
        <v>-45763.5</v>
      </c>
      <c r="C27">
        <v>7889.2</v>
      </c>
      <c r="D27" s="1">
        <v>0</v>
      </c>
      <c r="E27">
        <v>-19.347000000000001</v>
      </c>
      <c r="F27" s="1">
        <v>-17.873999999999999</v>
      </c>
      <c r="G27" s="1">
        <v>0.71023999999999998</v>
      </c>
    </row>
    <row r="28" spans="1:14" x14ac:dyDescent="0.35">
      <c r="A28">
        <v>2600</v>
      </c>
      <c r="B28">
        <v>-47558.8</v>
      </c>
      <c r="C28">
        <v>9855.9</v>
      </c>
      <c r="D28" s="1">
        <v>0</v>
      </c>
      <c r="E28">
        <v>-19.983000000000001</v>
      </c>
      <c r="F28" s="1">
        <v>-18.030999999999999</v>
      </c>
      <c r="G28" s="1">
        <v>0.66195000000000004</v>
      </c>
    </row>
    <row r="29" spans="1:14" x14ac:dyDescent="0.35">
      <c r="A29">
        <v>2700</v>
      </c>
      <c r="B29">
        <v>-49369.5</v>
      </c>
      <c r="C29">
        <v>11885.3</v>
      </c>
      <c r="D29" s="1">
        <v>0</v>
      </c>
      <c r="E29">
        <v>-20.603000000000002</v>
      </c>
      <c r="F29" s="1">
        <v>-18.178999999999998</v>
      </c>
      <c r="G29" s="1">
        <v>0.61829000000000001</v>
      </c>
    </row>
    <row r="30" spans="1:14" x14ac:dyDescent="0.35">
      <c r="A30">
        <v>2800</v>
      </c>
      <c r="B30">
        <v>-51194.5</v>
      </c>
      <c r="C30">
        <v>13975.9</v>
      </c>
      <c r="D30" s="1">
        <v>0</v>
      </c>
      <c r="E30">
        <v>-21.206</v>
      </c>
      <c r="F30" s="1">
        <v>-18.318999999999999</v>
      </c>
      <c r="G30" s="1">
        <v>0.57869999999999999</v>
      </c>
    </row>
    <row r="31" spans="1:14" x14ac:dyDescent="0.35">
      <c r="A31">
        <v>2900</v>
      </c>
      <c r="B31">
        <v>-53033.1</v>
      </c>
      <c r="C31">
        <v>16126.1</v>
      </c>
      <c r="D31" s="1">
        <v>0</v>
      </c>
      <c r="E31">
        <v>-21.795000000000002</v>
      </c>
      <c r="F31" s="1">
        <v>-18.452000000000002</v>
      </c>
      <c r="G31" s="1">
        <v>0.54269000000000001</v>
      </c>
    </row>
    <row r="32" spans="1:14" x14ac:dyDescent="0.35">
      <c r="A32">
        <v>3000</v>
      </c>
      <c r="B32">
        <v>-54884.5</v>
      </c>
      <c r="C32">
        <v>18334.400000000001</v>
      </c>
      <c r="D32" s="1">
        <v>0</v>
      </c>
      <c r="E32">
        <v>-22.37</v>
      </c>
      <c r="F32" s="1">
        <v>-18.577000000000002</v>
      </c>
      <c r="G32" s="1">
        <v>0.50982000000000005</v>
      </c>
    </row>
    <row r="33" spans="1:7" x14ac:dyDescent="0.35">
      <c r="A33" t="s">
        <v>13</v>
      </c>
      <c r="B33" t="s">
        <v>14</v>
      </c>
      <c r="C33" t="s">
        <v>14</v>
      </c>
      <c r="D33" t="s">
        <v>15</v>
      </c>
      <c r="E33" t="s">
        <v>16</v>
      </c>
      <c r="F33" t="s">
        <v>16</v>
      </c>
      <c r="G33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5306-3BE8-413F-A831-F6FF55A034BD}">
  <dimension ref="A1:N33"/>
  <sheetViews>
    <sheetView workbookViewId="0">
      <selection activeCell="N18" sqref="N18"/>
    </sheetView>
  </sheetViews>
  <sheetFormatPr defaultRowHeight="14.5" x14ac:dyDescent="0.35"/>
  <sheetData>
    <row r="1" spans="1:14" x14ac:dyDescent="0.35">
      <c r="A1" t="s">
        <v>34</v>
      </c>
      <c r="B1" t="e" cm="1">
        <f t="array" ref="B1" xml:space="preserve"> Fe3C + Si</f>
        <v>#NAME?</v>
      </c>
    </row>
    <row r="2" spans="1:14" x14ac:dyDescent="0.35">
      <c r="A2" t="s">
        <v>35</v>
      </c>
      <c r="B2" t="s">
        <v>2</v>
      </c>
    </row>
    <row r="3" spans="1:14" x14ac:dyDescent="0.35">
      <c r="A3" t="s">
        <v>36</v>
      </c>
      <c r="B3" t="s">
        <v>37</v>
      </c>
    </row>
    <row r="5" spans="1:14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4" x14ac:dyDescent="0.35">
      <c r="A6" t="s">
        <v>38</v>
      </c>
      <c r="B6" t="s">
        <v>14</v>
      </c>
      <c r="C6" t="s">
        <v>14</v>
      </c>
      <c r="D6" t="s">
        <v>15</v>
      </c>
      <c r="E6" t="s">
        <v>16</v>
      </c>
      <c r="F6" t="s">
        <v>16</v>
      </c>
      <c r="G6" t="s">
        <v>17</v>
      </c>
    </row>
    <row r="8" spans="1:14" x14ac:dyDescent="0.35">
      <c r="A8" t="s">
        <v>18</v>
      </c>
      <c r="B8" t="s">
        <v>39</v>
      </c>
      <c r="C8" t="s">
        <v>20</v>
      </c>
      <c r="D8" t="s">
        <v>40</v>
      </c>
      <c r="E8" t="s">
        <v>22</v>
      </c>
      <c r="F8" t="s">
        <v>41</v>
      </c>
    </row>
    <row r="9" spans="1:14" x14ac:dyDescent="0.35">
      <c r="A9">
        <v>1500</v>
      </c>
      <c r="B9">
        <v>124972.3</v>
      </c>
      <c r="C9">
        <v>49772.9</v>
      </c>
      <c r="D9" s="1">
        <v>0</v>
      </c>
      <c r="E9">
        <v>42.41</v>
      </c>
      <c r="F9" s="1">
        <v>-28.431999999999999</v>
      </c>
      <c r="G9" s="1">
        <v>3.4181999999999997E-2</v>
      </c>
    </row>
    <row r="10" spans="1:14" x14ac:dyDescent="0.35">
      <c r="A10">
        <v>1537.8</v>
      </c>
      <c r="B10">
        <v>123878.39999999999</v>
      </c>
      <c r="C10">
        <v>48181.1</v>
      </c>
      <c r="D10" s="1">
        <v>0</v>
      </c>
      <c r="E10">
        <v>41.8</v>
      </c>
      <c r="F10" s="1">
        <v>-29.445</v>
      </c>
      <c r="G10" s="1">
        <v>4.0767999999999999E-2</v>
      </c>
    </row>
    <row r="11" spans="1:14" x14ac:dyDescent="0.35">
      <c r="A11" t="s">
        <v>18</v>
      </c>
      <c r="B11" t="s">
        <v>42</v>
      </c>
      <c r="C11" t="s">
        <v>20</v>
      </c>
      <c r="D11" t="s">
        <v>40</v>
      </c>
      <c r="E11" t="s">
        <v>22</v>
      </c>
      <c r="F11" t="s">
        <v>43</v>
      </c>
    </row>
    <row r="12" spans="1:14" x14ac:dyDescent="0.35">
      <c r="A12" t="s">
        <v>44</v>
      </c>
      <c r="B12" t="s">
        <v>45</v>
      </c>
      <c r="C12" t="s">
        <v>26</v>
      </c>
      <c r="D12" t="s">
        <v>18</v>
      </c>
      <c r="E12" t="s">
        <v>46</v>
      </c>
      <c r="K12">
        <v>1537.8</v>
      </c>
      <c r="L12">
        <v>48181.1</v>
      </c>
      <c r="M12">
        <f>L12/1000</f>
        <v>48.181100000000001</v>
      </c>
      <c r="N12">
        <f>M12/3</f>
        <v>16.060366666666667</v>
      </c>
    </row>
    <row r="13" spans="1:14" x14ac:dyDescent="0.35">
      <c r="A13">
        <v>1537.8</v>
      </c>
      <c r="B13">
        <v>82457.7</v>
      </c>
      <c r="C13">
        <v>48181.1</v>
      </c>
      <c r="D13" s="1">
        <v>0</v>
      </c>
      <c r="E13">
        <v>18.927</v>
      </c>
      <c r="F13" s="1">
        <v>-43.404000000000003</v>
      </c>
      <c r="G13" s="1">
        <v>4.0767999999999999E-2</v>
      </c>
      <c r="K13">
        <v>1600</v>
      </c>
      <c r="L13">
        <v>47049.8</v>
      </c>
      <c r="M13">
        <f t="shared" ref="M13:M29" si="0">L13/1000</f>
        <v>47.049800000000005</v>
      </c>
      <c r="N13">
        <f t="shared" ref="N13:N29" si="1">M13/3</f>
        <v>15.683266666666668</v>
      </c>
    </row>
    <row r="14" spans="1:14" x14ac:dyDescent="0.35">
      <c r="A14">
        <v>1600</v>
      </c>
      <c r="B14">
        <v>79751.5</v>
      </c>
      <c r="C14">
        <v>47049.8</v>
      </c>
      <c r="D14" s="1">
        <v>0</v>
      </c>
      <c r="E14">
        <v>17.457999999999998</v>
      </c>
      <c r="F14" s="1">
        <v>-43.613</v>
      </c>
      <c r="G14" s="1">
        <v>4.8752999999999998E-2</v>
      </c>
      <c r="K14">
        <v>1700</v>
      </c>
      <c r="L14">
        <v>45418.6</v>
      </c>
      <c r="M14">
        <f t="shared" si="0"/>
        <v>45.418599999999998</v>
      </c>
      <c r="N14">
        <f t="shared" si="1"/>
        <v>15.139533333333333</v>
      </c>
    </row>
    <row r="15" spans="1:14" x14ac:dyDescent="0.35">
      <c r="A15">
        <v>1700</v>
      </c>
      <c r="B15">
        <v>75374.600000000006</v>
      </c>
      <c r="C15">
        <v>45418.6</v>
      </c>
      <c r="D15" s="1">
        <v>0</v>
      </c>
      <c r="E15">
        <v>15.182</v>
      </c>
      <c r="F15" s="1">
        <v>-43.92</v>
      </c>
      <c r="G15" s="1">
        <v>6.2758999999999995E-2</v>
      </c>
      <c r="K15">
        <v>1800</v>
      </c>
      <c r="L15">
        <v>44010.2</v>
      </c>
      <c r="M15">
        <f t="shared" si="0"/>
        <v>44.010199999999998</v>
      </c>
      <c r="N15">
        <f t="shared" si="1"/>
        <v>14.670066666666665</v>
      </c>
    </row>
    <row r="16" spans="1:14" x14ac:dyDescent="0.35">
      <c r="A16">
        <v>1800</v>
      </c>
      <c r="B16">
        <v>70968.3</v>
      </c>
      <c r="C16">
        <v>44010.2</v>
      </c>
      <c r="D16" s="1">
        <v>0</v>
      </c>
      <c r="E16">
        <v>13.003</v>
      </c>
      <c r="F16" s="1">
        <v>-44.2</v>
      </c>
      <c r="G16" s="1">
        <v>7.7831999999999998E-2</v>
      </c>
      <c r="K16">
        <v>1900</v>
      </c>
      <c r="L16">
        <v>42814.9</v>
      </c>
      <c r="M16">
        <f t="shared" si="0"/>
        <v>42.814900000000002</v>
      </c>
      <c r="N16">
        <f t="shared" si="1"/>
        <v>14.271633333333334</v>
      </c>
    </row>
    <row r="17" spans="1:14" x14ac:dyDescent="0.35">
      <c r="A17">
        <v>1900</v>
      </c>
      <c r="B17">
        <v>66535.3</v>
      </c>
      <c r="C17">
        <v>42814.9</v>
      </c>
      <c r="D17" s="1">
        <v>0</v>
      </c>
      <c r="E17">
        <v>10.914999999999999</v>
      </c>
      <c r="F17" s="1">
        <v>-44.457999999999998</v>
      </c>
      <c r="G17" s="1">
        <v>9.3521000000000007E-2</v>
      </c>
      <c r="K17">
        <v>2000</v>
      </c>
      <c r="L17">
        <v>41824.400000000001</v>
      </c>
      <c r="M17">
        <f t="shared" si="0"/>
        <v>41.824400000000004</v>
      </c>
      <c r="N17">
        <f t="shared" si="1"/>
        <v>13.941466666666669</v>
      </c>
    </row>
    <row r="18" spans="1:14" x14ac:dyDescent="0.35">
      <c r="A18">
        <v>2000</v>
      </c>
      <c r="B18">
        <v>62077.5</v>
      </c>
      <c r="C18">
        <v>41824.400000000001</v>
      </c>
      <c r="D18" s="1">
        <v>0</v>
      </c>
      <c r="E18">
        <v>8.91</v>
      </c>
      <c r="F18" s="1">
        <v>-44.695</v>
      </c>
      <c r="G18" s="1">
        <v>0.10938000000000001</v>
      </c>
      <c r="K18">
        <v>2100</v>
      </c>
      <c r="L18">
        <v>41030.400000000001</v>
      </c>
      <c r="M18">
        <f t="shared" si="0"/>
        <v>41.0304</v>
      </c>
      <c r="N18">
        <f t="shared" si="1"/>
        <v>13.6768</v>
      </c>
    </row>
    <row r="19" spans="1:14" x14ac:dyDescent="0.35">
      <c r="A19">
        <v>2100</v>
      </c>
      <c r="B19">
        <v>57596.9</v>
      </c>
      <c r="C19">
        <v>41030.400000000001</v>
      </c>
      <c r="D19" s="1">
        <v>0</v>
      </c>
      <c r="E19">
        <v>6.9809999999999999</v>
      </c>
      <c r="F19" s="1">
        <v>-44.914999999999999</v>
      </c>
      <c r="G19" s="1">
        <v>0.125</v>
      </c>
      <c r="K19">
        <v>2200</v>
      </c>
      <c r="L19">
        <v>40425.800000000003</v>
      </c>
      <c r="M19">
        <f t="shared" si="0"/>
        <v>40.425800000000002</v>
      </c>
      <c r="N19">
        <f t="shared" si="1"/>
        <v>13.475266666666668</v>
      </c>
    </row>
    <row r="20" spans="1:14" x14ac:dyDescent="0.35">
      <c r="A20">
        <v>2200</v>
      </c>
      <c r="B20">
        <v>53095.1</v>
      </c>
      <c r="C20">
        <v>40425.800000000003</v>
      </c>
      <c r="D20" s="1">
        <v>0</v>
      </c>
      <c r="E20">
        <v>5.1230000000000002</v>
      </c>
      <c r="F20" s="1">
        <v>-45.119</v>
      </c>
      <c r="G20" s="1">
        <v>0.14002000000000001</v>
      </c>
      <c r="K20">
        <v>2300</v>
      </c>
      <c r="L20">
        <v>40003.699999999997</v>
      </c>
      <c r="M20">
        <f t="shared" si="0"/>
        <v>40.003699999999995</v>
      </c>
      <c r="N20">
        <f t="shared" si="1"/>
        <v>13.334566666666666</v>
      </c>
    </row>
    <row r="21" spans="1:14" x14ac:dyDescent="0.35">
      <c r="A21">
        <v>2300</v>
      </c>
      <c r="B21">
        <v>48573.599999999999</v>
      </c>
      <c r="C21">
        <v>40003.699999999997</v>
      </c>
      <c r="D21" s="1">
        <v>0</v>
      </c>
      <c r="E21">
        <v>3.33</v>
      </c>
      <c r="F21" s="1">
        <v>-45.308999999999997</v>
      </c>
      <c r="G21" s="1">
        <v>0.15415000000000001</v>
      </c>
      <c r="K21">
        <v>2400</v>
      </c>
      <c r="L21">
        <v>39757.699999999997</v>
      </c>
      <c r="M21">
        <f t="shared" si="0"/>
        <v>39.7577</v>
      </c>
      <c r="N21">
        <f t="shared" si="1"/>
        <v>13.252566666666667</v>
      </c>
    </row>
    <row r="22" spans="1:14" x14ac:dyDescent="0.35">
      <c r="A22">
        <v>2400</v>
      </c>
      <c r="B22">
        <v>44033.599999999999</v>
      </c>
      <c r="C22">
        <v>39757.699999999997</v>
      </c>
      <c r="D22" s="1">
        <v>0</v>
      </c>
      <c r="E22">
        <v>1.6</v>
      </c>
      <c r="F22" s="1">
        <v>-45.487000000000002</v>
      </c>
      <c r="G22" s="1">
        <v>0.16716</v>
      </c>
      <c r="K22">
        <v>2500</v>
      </c>
      <c r="L22">
        <v>39681.9</v>
      </c>
      <c r="M22">
        <f t="shared" si="0"/>
        <v>39.681899999999999</v>
      </c>
      <c r="N22">
        <f t="shared" si="1"/>
        <v>13.2273</v>
      </c>
    </row>
    <row r="23" spans="1:14" x14ac:dyDescent="0.35">
      <c r="A23">
        <v>2500</v>
      </c>
      <c r="B23">
        <v>39476.5</v>
      </c>
      <c r="C23">
        <v>39681.9</v>
      </c>
      <c r="D23" s="1">
        <v>0</v>
      </c>
      <c r="E23">
        <v>-7.3999999999999996E-2</v>
      </c>
      <c r="F23" s="1">
        <v>-45.654000000000003</v>
      </c>
      <c r="G23" s="1">
        <v>0.17888999999999999</v>
      </c>
      <c r="K23">
        <v>2600</v>
      </c>
      <c r="L23">
        <v>39770.699999999997</v>
      </c>
      <c r="M23">
        <f t="shared" si="0"/>
        <v>39.770699999999998</v>
      </c>
      <c r="N23">
        <f t="shared" si="1"/>
        <v>13.2569</v>
      </c>
    </row>
    <row r="24" spans="1:14" x14ac:dyDescent="0.35">
      <c r="A24">
        <v>2600</v>
      </c>
      <c r="B24">
        <v>34903.1</v>
      </c>
      <c r="C24">
        <v>39770.699999999997</v>
      </c>
      <c r="D24" s="1">
        <v>0</v>
      </c>
      <c r="E24">
        <v>-1.694</v>
      </c>
      <c r="F24" s="1">
        <v>-45.811</v>
      </c>
      <c r="G24" s="1">
        <v>0.18922</v>
      </c>
      <c r="K24">
        <v>2700</v>
      </c>
      <c r="L24">
        <v>40019.1</v>
      </c>
      <c r="M24">
        <f t="shared" si="0"/>
        <v>40.019100000000002</v>
      </c>
      <c r="N24">
        <f t="shared" si="1"/>
        <v>13.339700000000001</v>
      </c>
    </row>
    <row r="25" spans="1:14" x14ac:dyDescent="0.35">
      <c r="A25">
        <v>2700</v>
      </c>
      <c r="B25">
        <v>30314.5</v>
      </c>
      <c r="C25">
        <v>40019.1</v>
      </c>
      <c r="D25" s="1">
        <v>0</v>
      </c>
      <c r="E25">
        <v>-3.2639999999999998</v>
      </c>
      <c r="F25" s="1">
        <v>-45.959000000000003</v>
      </c>
      <c r="G25" s="1">
        <v>0.19811999999999999</v>
      </c>
      <c r="K25">
        <v>2800</v>
      </c>
      <c r="L25">
        <v>40422</v>
      </c>
      <c r="M25">
        <f t="shared" si="0"/>
        <v>40.421999999999997</v>
      </c>
      <c r="N25">
        <f t="shared" si="1"/>
        <v>13.473999999999998</v>
      </c>
    </row>
    <row r="26" spans="1:14" x14ac:dyDescent="0.35">
      <c r="A26">
        <v>2800</v>
      </c>
      <c r="B26">
        <v>25711.5</v>
      </c>
      <c r="C26">
        <v>40422</v>
      </c>
      <c r="D26" s="1">
        <v>0</v>
      </c>
      <c r="E26">
        <v>-4.7869999999999999</v>
      </c>
      <c r="F26" s="1">
        <v>-46.098999999999997</v>
      </c>
      <c r="G26" s="1">
        <v>0.20557</v>
      </c>
      <c r="K26">
        <v>2861.85</v>
      </c>
      <c r="L26">
        <v>40746.6</v>
      </c>
      <c r="M26">
        <f t="shared" si="0"/>
        <v>40.746600000000001</v>
      </c>
      <c r="N26">
        <f t="shared" si="1"/>
        <v>13.5822</v>
      </c>
    </row>
    <row r="27" spans="1:14" x14ac:dyDescent="0.35">
      <c r="A27">
        <v>2861.85</v>
      </c>
      <c r="B27">
        <v>22857.7</v>
      </c>
      <c r="C27">
        <v>40746.6</v>
      </c>
      <c r="D27" s="1">
        <v>0</v>
      </c>
      <c r="E27">
        <v>-5.7060000000000004</v>
      </c>
      <c r="F27" s="1">
        <v>-46.182000000000002</v>
      </c>
      <c r="G27" s="1">
        <v>0.20946000000000001</v>
      </c>
      <c r="K27">
        <v>2861.85</v>
      </c>
      <c r="L27">
        <v>40746.6</v>
      </c>
      <c r="M27">
        <f t="shared" si="0"/>
        <v>40.746600000000001</v>
      </c>
      <c r="N27">
        <f t="shared" si="1"/>
        <v>13.5822</v>
      </c>
    </row>
    <row r="28" spans="1:14" x14ac:dyDescent="0.35">
      <c r="A28" t="s">
        <v>18</v>
      </c>
      <c r="B28" t="s">
        <v>47</v>
      </c>
      <c r="C28" t="s">
        <v>20</v>
      </c>
      <c r="D28" t="s">
        <v>40</v>
      </c>
      <c r="E28" t="s">
        <v>22</v>
      </c>
      <c r="F28" t="s">
        <v>43</v>
      </c>
      <c r="K28">
        <v>2900</v>
      </c>
      <c r="L28">
        <v>53723.7</v>
      </c>
      <c r="M28">
        <f t="shared" si="0"/>
        <v>53.723699999999994</v>
      </c>
      <c r="N28">
        <f t="shared" si="1"/>
        <v>17.907899999999998</v>
      </c>
    </row>
    <row r="29" spans="1:14" x14ac:dyDescent="0.35">
      <c r="A29" t="s">
        <v>44</v>
      </c>
      <c r="B29" t="s">
        <v>48</v>
      </c>
      <c r="C29" t="s">
        <v>26</v>
      </c>
      <c r="D29" t="s">
        <v>18</v>
      </c>
      <c r="E29" t="s">
        <v>49</v>
      </c>
      <c r="K29">
        <v>3000</v>
      </c>
      <c r="L29">
        <v>87717</v>
      </c>
      <c r="M29">
        <f t="shared" si="0"/>
        <v>87.716999999999999</v>
      </c>
      <c r="N29">
        <f t="shared" si="1"/>
        <v>29.239000000000001</v>
      </c>
    </row>
    <row r="30" spans="1:14" x14ac:dyDescent="0.35">
      <c r="A30">
        <v>2861.85</v>
      </c>
      <c r="B30">
        <v>-1025861.3</v>
      </c>
      <c r="C30">
        <v>40746.6</v>
      </c>
      <c r="D30" s="1">
        <v>-771.75</v>
      </c>
      <c r="E30">
        <v>-340.226</v>
      </c>
      <c r="F30" s="1">
        <v>10.632</v>
      </c>
      <c r="G30" s="1">
        <v>0.20946000000000001</v>
      </c>
    </row>
    <row r="31" spans="1:14" x14ac:dyDescent="0.35">
      <c r="A31">
        <v>2900</v>
      </c>
      <c r="B31">
        <v>-1025456.7</v>
      </c>
      <c r="C31">
        <v>53723.7</v>
      </c>
      <c r="D31" s="1">
        <v>-781.15</v>
      </c>
      <c r="E31">
        <v>-340.09800000000001</v>
      </c>
      <c r="F31" s="1">
        <v>10.582000000000001</v>
      </c>
      <c r="G31" s="1">
        <v>0.13050999999999999</v>
      </c>
    </row>
    <row r="32" spans="1:14" x14ac:dyDescent="0.35">
      <c r="A32">
        <v>3000</v>
      </c>
      <c r="B32">
        <v>-1024404.8</v>
      </c>
      <c r="C32">
        <v>87717</v>
      </c>
      <c r="D32" s="1">
        <v>-805.76</v>
      </c>
      <c r="E32">
        <v>-339.77100000000002</v>
      </c>
      <c r="F32" s="1">
        <v>10.457000000000001</v>
      </c>
      <c r="G32" s="1">
        <v>3.9829000000000003E-2</v>
      </c>
    </row>
    <row r="33" spans="1:7" x14ac:dyDescent="0.35">
      <c r="A33" t="s">
        <v>38</v>
      </c>
      <c r="B33" t="s">
        <v>14</v>
      </c>
      <c r="C33" t="s">
        <v>14</v>
      </c>
      <c r="D33" t="s">
        <v>15</v>
      </c>
      <c r="E33" t="s">
        <v>16</v>
      </c>
      <c r="F33" t="s">
        <v>16</v>
      </c>
      <c r="G33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BEF4-8601-4857-A352-D58260EAA57D}">
  <dimension ref="A1:L33"/>
  <sheetViews>
    <sheetView workbookViewId="0">
      <selection activeCell="L17" sqref="L17"/>
    </sheetView>
  </sheetViews>
  <sheetFormatPr defaultRowHeight="14.5" x14ac:dyDescent="0.35"/>
  <cols>
    <col min="2" max="2" width="14.08984375" customWidth="1"/>
    <col min="3" max="3" width="16.54296875" customWidth="1"/>
  </cols>
  <sheetData>
    <row r="1" spans="1:12" x14ac:dyDescent="0.35">
      <c r="A1" t="s">
        <v>50</v>
      </c>
      <c r="B1" t="s">
        <v>51</v>
      </c>
    </row>
    <row r="2" spans="1:12" x14ac:dyDescent="0.35">
      <c r="A2" t="s">
        <v>3</v>
      </c>
      <c r="B2" t="s">
        <v>2</v>
      </c>
    </row>
    <row r="3" spans="1:12" x14ac:dyDescent="0.35">
      <c r="A3" t="s">
        <v>52</v>
      </c>
      <c r="B3" t="s">
        <v>53</v>
      </c>
    </row>
    <row r="5" spans="1:12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54</v>
      </c>
      <c r="H5" t="s">
        <v>55</v>
      </c>
    </row>
    <row r="6" spans="1:12" x14ac:dyDescent="0.35">
      <c r="A6" t="s">
        <v>38</v>
      </c>
      <c r="B6" t="s">
        <v>14</v>
      </c>
      <c r="C6" t="s">
        <v>14</v>
      </c>
      <c r="D6" t="s">
        <v>15</v>
      </c>
      <c r="E6" t="s">
        <v>16</v>
      </c>
      <c r="F6" t="s">
        <v>16</v>
      </c>
      <c r="G6" t="s">
        <v>38</v>
      </c>
      <c r="H6" t="s">
        <v>56</v>
      </c>
    </row>
    <row r="8" spans="1:12" x14ac:dyDescent="0.35">
      <c r="A8" t="s">
        <v>18</v>
      </c>
      <c r="B8" t="s">
        <v>39</v>
      </c>
      <c r="C8" t="s">
        <v>20</v>
      </c>
      <c r="D8" t="s">
        <v>57</v>
      </c>
      <c r="E8" t="s">
        <v>58</v>
      </c>
      <c r="F8" t="s">
        <v>43</v>
      </c>
    </row>
    <row r="9" spans="1:12" x14ac:dyDescent="0.35">
      <c r="A9">
        <v>1500</v>
      </c>
      <c r="B9">
        <v>-9331.9</v>
      </c>
      <c r="C9">
        <v>-13590.2</v>
      </c>
      <c r="D9" s="1">
        <v>0</v>
      </c>
      <c r="E9">
        <v>2.4020000000000001</v>
      </c>
      <c r="F9" s="1">
        <v>-0.47810000000000002</v>
      </c>
      <c r="G9" s="1">
        <v>2.5137999999999998</v>
      </c>
    </row>
    <row r="10" spans="1:12" x14ac:dyDescent="0.35">
      <c r="A10">
        <v>1537.8</v>
      </c>
      <c r="B10">
        <v>-9350.7000000000007</v>
      </c>
      <c r="C10">
        <v>-13680.8</v>
      </c>
      <c r="D10" s="1">
        <v>0</v>
      </c>
      <c r="E10">
        <v>2.391</v>
      </c>
      <c r="F10" s="1">
        <v>-0.58836999999999995</v>
      </c>
      <c r="G10" s="1">
        <v>2.4807999999999999</v>
      </c>
      <c r="H10" t="s">
        <v>55</v>
      </c>
    </row>
    <row r="11" spans="1:12" x14ac:dyDescent="0.35">
      <c r="A11" t="s">
        <v>18</v>
      </c>
      <c r="B11" t="s">
        <v>42</v>
      </c>
      <c r="C11" t="s">
        <v>20</v>
      </c>
      <c r="D11" t="s">
        <v>57</v>
      </c>
      <c r="E11" t="s">
        <v>58</v>
      </c>
      <c r="F11" t="s">
        <v>59</v>
      </c>
    </row>
    <row r="12" spans="1:12" x14ac:dyDescent="0.35">
      <c r="A12" t="s">
        <v>44</v>
      </c>
      <c r="B12" t="s">
        <v>45</v>
      </c>
      <c r="C12" t="s">
        <v>26</v>
      </c>
      <c r="D12" t="s">
        <v>18</v>
      </c>
      <c r="E12" t="s">
        <v>46</v>
      </c>
      <c r="J12">
        <v>1537.8</v>
      </c>
      <c r="K12">
        <v>-13680.8</v>
      </c>
      <c r="L12">
        <f>K12/1000</f>
        <v>-13.6808</v>
      </c>
    </row>
    <row r="13" spans="1:12" x14ac:dyDescent="0.35">
      <c r="A13">
        <v>1537.8</v>
      </c>
      <c r="B13">
        <v>-23157.599999999999</v>
      </c>
      <c r="C13">
        <v>-13680.8</v>
      </c>
      <c r="D13" s="1">
        <v>0</v>
      </c>
      <c r="E13">
        <v>-5.2329999999999997</v>
      </c>
      <c r="F13" s="1">
        <v>-5.2412000000000001</v>
      </c>
      <c r="G13" s="1">
        <v>2.4807999999999999</v>
      </c>
      <c r="H13" t="s">
        <v>55</v>
      </c>
      <c r="J13">
        <v>1600</v>
      </c>
      <c r="K13">
        <v>-13349.8</v>
      </c>
      <c r="L13">
        <f t="shared" ref="L13:L29" si="0">K13/1000</f>
        <v>-13.3498</v>
      </c>
    </row>
    <row r="14" spans="1:12" x14ac:dyDescent="0.35">
      <c r="A14">
        <v>1600</v>
      </c>
      <c r="B14">
        <v>-23486</v>
      </c>
      <c r="C14">
        <v>-13349.8</v>
      </c>
      <c r="D14" s="1">
        <v>0</v>
      </c>
      <c r="E14">
        <v>-5.4109999999999996</v>
      </c>
      <c r="F14" s="1">
        <v>-5.3156999999999996</v>
      </c>
      <c r="G14" s="1">
        <v>2.3565</v>
      </c>
      <c r="H14" t="s">
        <v>55</v>
      </c>
      <c r="J14">
        <v>1700</v>
      </c>
      <c r="K14">
        <v>-12794.6</v>
      </c>
      <c r="L14">
        <f t="shared" si="0"/>
        <v>-12.794600000000001</v>
      </c>
    </row>
    <row r="15" spans="1:12" x14ac:dyDescent="0.35">
      <c r="A15">
        <v>1700</v>
      </c>
      <c r="B15">
        <v>-24023</v>
      </c>
      <c r="C15">
        <v>-12794.6</v>
      </c>
      <c r="D15" s="1">
        <v>0</v>
      </c>
      <c r="E15">
        <v>-5.6909999999999998</v>
      </c>
      <c r="F15" s="1">
        <v>-5.4218000000000002</v>
      </c>
      <c r="G15" s="1">
        <v>2.1812</v>
      </c>
      <c r="H15" t="s">
        <v>55</v>
      </c>
      <c r="J15">
        <v>1800</v>
      </c>
      <c r="K15">
        <v>-12211.9</v>
      </c>
      <c r="L15">
        <f t="shared" si="0"/>
        <v>-12.2119</v>
      </c>
    </row>
    <row r="16" spans="1:12" x14ac:dyDescent="0.35">
      <c r="A16">
        <v>1800</v>
      </c>
      <c r="B16">
        <v>-24569.9</v>
      </c>
      <c r="C16">
        <v>-12211.9</v>
      </c>
      <c r="D16" s="1">
        <v>0</v>
      </c>
      <c r="E16">
        <v>-5.9610000000000003</v>
      </c>
      <c r="F16" s="1">
        <v>-5.5145999999999997</v>
      </c>
      <c r="G16" s="1">
        <v>2.0308999999999999</v>
      </c>
      <c r="H16" t="s">
        <v>55</v>
      </c>
      <c r="J16">
        <v>1900</v>
      </c>
      <c r="K16">
        <v>-11602.7</v>
      </c>
      <c r="L16">
        <f t="shared" si="0"/>
        <v>-11.6027</v>
      </c>
    </row>
    <row r="17" spans="1:12" x14ac:dyDescent="0.35">
      <c r="A17">
        <v>1900</v>
      </c>
      <c r="B17">
        <v>-25125.5</v>
      </c>
      <c r="C17">
        <v>-11602.7</v>
      </c>
      <c r="D17" s="1">
        <v>0</v>
      </c>
      <c r="E17">
        <v>-6.2229999999999999</v>
      </c>
      <c r="F17" s="1">
        <v>-5.5953999999999997</v>
      </c>
      <c r="G17" s="1">
        <v>1.9005000000000001</v>
      </c>
      <c r="H17" t="s">
        <v>55</v>
      </c>
      <c r="J17">
        <v>2000</v>
      </c>
      <c r="K17">
        <v>-10967.7</v>
      </c>
      <c r="L17">
        <f t="shared" si="0"/>
        <v>-10.967700000000001</v>
      </c>
    </row>
    <row r="18" spans="1:12" x14ac:dyDescent="0.35">
      <c r="A18">
        <v>2000</v>
      </c>
      <c r="B18">
        <v>-25688.6</v>
      </c>
      <c r="C18">
        <v>-10967.7</v>
      </c>
      <c r="D18" s="1">
        <v>0</v>
      </c>
      <c r="E18">
        <v>-6.476</v>
      </c>
      <c r="F18" s="1">
        <v>-5.6653000000000002</v>
      </c>
      <c r="G18" s="1">
        <v>1.7866</v>
      </c>
      <c r="H18" t="s">
        <v>55</v>
      </c>
      <c r="J18">
        <v>2100</v>
      </c>
      <c r="K18">
        <v>-10307.700000000001</v>
      </c>
      <c r="L18">
        <f t="shared" si="0"/>
        <v>-10.307700000000001</v>
      </c>
    </row>
    <row r="19" spans="1:12" x14ac:dyDescent="0.35">
      <c r="A19">
        <v>2100</v>
      </c>
      <c r="B19">
        <v>-26258.2</v>
      </c>
      <c r="C19">
        <v>-10307.700000000001</v>
      </c>
      <c r="D19" s="1">
        <v>0</v>
      </c>
      <c r="E19">
        <v>-6.7210000000000001</v>
      </c>
      <c r="F19" s="1">
        <v>-5.7253999999999996</v>
      </c>
      <c r="G19" s="1">
        <v>1.6860999999999999</v>
      </c>
      <c r="H19" t="s">
        <v>55</v>
      </c>
      <c r="J19">
        <v>2200</v>
      </c>
      <c r="K19">
        <v>-9623.7000000000007</v>
      </c>
      <c r="L19">
        <f t="shared" si="0"/>
        <v>-9.6237000000000013</v>
      </c>
    </row>
    <row r="20" spans="1:12" x14ac:dyDescent="0.35">
      <c r="A20">
        <v>2200</v>
      </c>
      <c r="B20">
        <v>-26833.4</v>
      </c>
      <c r="C20">
        <v>-9623.7000000000007</v>
      </c>
      <c r="D20" s="1">
        <v>0</v>
      </c>
      <c r="E20">
        <v>-6.9589999999999996</v>
      </c>
      <c r="F20" s="1">
        <v>-5.7765000000000004</v>
      </c>
      <c r="G20" s="1">
        <v>1.5968</v>
      </c>
      <c r="H20" t="s">
        <v>55</v>
      </c>
      <c r="J20">
        <v>2300</v>
      </c>
      <c r="K20">
        <v>-8916.2999999999993</v>
      </c>
      <c r="L20">
        <f t="shared" si="0"/>
        <v>-8.9162999999999997</v>
      </c>
    </row>
    <row r="21" spans="1:12" x14ac:dyDescent="0.35">
      <c r="A21">
        <v>2300</v>
      </c>
      <c r="B21">
        <v>-27413.3</v>
      </c>
      <c r="C21">
        <v>-8916.2999999999993</v>
      </c>
      <c r="D21" s="1">
        <v>0</v>
      </c>
      <c r="E21">
        <v>-7.1879999999999997</v>
      </c>
      <c r="F21" s="1">
        <v>-5.8194999999999997</v>
      </c>
      <c r="G21" s="1">
        <v>1.5169999999999999</v>
      </c>
      <c r="H21" t="s">
        <v>55</v>
      </c>
      <c r="J21">
        <v>2400</v>
      </c>
      <c r="K21">
        <v>-8186.2</v>
      </c>
      <c r="L21">
        <f t="shared" si="0"/>
        <v>-8.1861999999999995</v>
      </c>
    </row>
    <row r="22" spans="1:12" x14ac:dyDescent="0.35">
      <c r="A22">
        <v>2400</v>
      </c>
      <c r="B22">
        <v>-27997.1</v>
      </c>
      <c r="C22">
        <v>-8186.2</v>
      </c>
      <c r="D22" s="1">
        <v>0</v>
      </c>
      <c r="E22">
        <v>-7.4109999999999996</v>
      </c>
      <c r="F22" s="1">
        <v>-5.8550000000000004</v>
      </c>
      <c r="G22" s="1">
        <v>1.4453</v>
      </c>
      <c r="H22" t="s">
        <v>55</v>
      </c>
      <c r="J22">
        <v>2500</v>
      </c>
      <c r="K22">
        <v>-7434.3</v>
      </c>
      <c r="L22">
        <f t="shared" si="0"/>
        <v>-7.4343000000000004</v>
      </c>
    </row>
    <row r="23" spans="1:12" x14ac:dyDescent="0.35">
      <c r="A23">
        <v>2500</v>
      </c>
      <c r="B23">
        <v>-28584</v>
      </c>
      <c r="C23">
        <v>-7434.3</v>
      </c>
      <c r="D23" s="1">
        <v>0</v>
      </c>
      <c r="E23">
        <v>-7.6269999999999998</v>
      </c>
      <c r="F23" s="1">
        <v>-5.8836000000000004</v>
      </c>
      <c r="G23" s="1">
        <v>1.3805000000000001</v>
      </c>
      <c r="H23" t="s">
        <v>55</v>
      </c>
      <c r="J23">
        <v>2600</v>
      </c>
      <c r="K23">
        <v>-6661.1</v>
      </c>
      <c r="L23">
        <f t="shared" si="0"/>
        <v>-6.6611000000000002</v>
      </c>
    </row>
    <row r="24" spans="1:12" x14ac:dyDescent="0.35">
      <c r="A24">
        <v>2600</v>
      </c>
      <c r="B24">
        <v>-29173.599999999999</v>
      </c>
      <c r="C24">
        <v>-6661.1</v>
      </c>
      <c r="D24" s="1">
        <v>0</v>
      </c>
      <c r="E24">
        <v>-7.835</v>
      </c>
      <c r="F24" s="1">
        <v>-5.9058000000000002</v>
      </c>
      <c r="G24" s="1">
        <v>1.3216000000000001</v>
      </c>
      <c r="H24" t="s">
        <v>55</v>
      </c>
      <c r="J24">
        <v>2700</v>
      </c>
      <c r="K24">
        <v>-5867.4</v>
      </c>
      <c r="L24">
        <f t="shared" si="0"/>
        <v>-5.8673999999999999</v>
      </c>
    </row>
    <row r="25" spans="1:12" x14ac:dyDescent="0.35">
      <c r="A25">
        <v>2700</v>
      </c>
      <c r="B25">
        <v>-29765</v>
      </c>
      <c r="C25">
        <v>-5867.4</v>
      </c>
      <c r="D25" s="1">
        <v>0</v>
      </c>
      <c r="E25">
        <v>-8.0380000000000003</v>
      </c>
      <c r="F25" s="1">
        <v>-5.9222999999999999</v>
      </c>
      <c r="G25" s="1">
        <v>1.2679</v>
      </c>
      <c r="H25" t="s">
        <v>55</v>
      </c>
      <c r="J25">
        <v>2800</v>
      </c>
      <c r="K25">
        <v>-5053.8</v>
      </c>
      <c r="L25">
        <f t="shared" si="0"/>
        <v>-5.0537999999999998</v>
      </c>
    </row>
    <row r="26" spans="1:12" x14ac:dyDescent="0.35">
      <c r="A26">
        <v>2800</v>
      </c>
      <c r="B26">
        <v>-30357.8</v>
      </c>
      <c r="C26">
        <v>-5053.8</v>
      </c>
      <c r="D26" s="1">
        <v>0</v>
      </c>
      <c r="E26">
        <v>-8.234</v>
      </c>
      <c r="F26" s="1">
        <v>-5.9333999999999998</v>
      </c>
      <c r="G26" s="1">
        <v>1.2186999999999999</v>
      </c>
      <c r="H26" t="s">
        <v>55</v>
      </c>
      <c r="J26">
        <v>2861.85</v>
      </c>
      <c r="K26">
        <v>-4540.8</v>
      </c>
      <c r="L26">
        <f t="shared" si="0"/>
        <v>-4.5407999999999999</v>
      </c>
    </row>
    <row r="27" spans="1:12" x14ac:dyDescent="0.35">
      <c r="A27">
        <v>2861.85</v>
      </c>
      <c r="B27">
        <v>-30725</v>
      </c>
      <c r="C27">
        <v>-4540.8</v>
      </c>
      <c r="D27" s="1">
        <v>0</v>
      </c>
      <c r="E27">
        <v>-8.3520000000000003</v>
      </c>
      <c r="F27" s="1">
        <v>-5.9378000000000002</v>
      </c>
      <c r="G27" s="1">
        <v>1.1902999999999999</v>
      </c>
      <c r="H27" t="s">
        <v>55</v>
      </c>
      <c r="J27">
        <v>2861.85</v>
      </c>
      <c r="K27">
        <v>-4540.8</v>
      </c>
      <c r="L27">
        <f t="shared" si="0"/>
        <v>-4.5407999999999999</v>
      </c>
    </row>
    <row r="28" spans="1:12" x14ac:dyDescent="0.35">
      <c r="A28" t="s">
        <v>18</v>
      </c>
      <c r="B28" t="s">
        <v>47</v>
      </c>
      <c r="C28" t="s">
        <v>20</v>
      </c>
      <c r="D28" t="s">
        <v>57</v>
      </c>
      <c r="E28" t="s">
        <v>58</v>
      </c>
      <c r="F28" t="s">
        <v>59</v>
      </c>
      <c r="J28">
        <v>2900</v>
      </c>
      <c r="K28">
        <v>28.8</v>
      </c>
      <c r="L28">
        <f t="shared" si="0"/>
        <v>2.8799999999999999E-2</v>
      </c>
    </row>
    <row r="29" spans="1:12" x14ac:dyDescent="0.35">
      <c r="A29" t="s">
        <v>44</v>
      </c>
      <c r="B29" t="s">
        <v>48</v>
      </c>
      <c r="C29" t="s">
        <v>26</v>
      </c>
      <c r="D29" t="s">
        <v>18</v>
      </c>
      <c r="E29" t="s">
        <v>49</v>
      </c>
      <c r="J29">
        <v>3000</v>
      </c>
      <c r="K29">
        <v>11978.6</v>
      </c>
      <c r="L29">
        <f t="shared" si="0"/>
        <v>11.9786</v>
      </c>
    </row>
    <row r="30" spans="1:12" x14ac:dyDescent="0.35">
      <c r="A30">
        <v>2861.85</v>
      </c>
      <c r="B30">
        <v>-380298</v>
      </c>
      <c r="C30">
        <v>-4540.8</v>
      </c>
      <c r="D30" s="1">
        <v>-257.25</v>
      </c>
      <c r="E30">
        <v>-119.85899999999999</v>
      </c>
      <c r="F30" s="1">
        <v>13</v>
      </c>
      <c r="G30" s="1">
        <v>1.1902999999999999</v>
      </c>
      <c r="H30" t="s">
        <v>55</v>
      </c>
    </row>
    <row r="31" spans="1:12" x14ac:dyDescent="0.35">
      <c r="A31">
        <v>2900</v>
      </c>
      <c r="B31">
        <v>-379802.1</v>
      </c>
      <c r="C31">
        <v>28.8</v>
      </c>
      <c r="D31" s="1">
        <v>-260.38</v>
      </c>
      <c r="E31">
        <v>-119.70099999999999</v>
      </c>
      <c r="F31" s="1">
        <v>12.997999999999999</v>
      </c>
      <c r="G31" s="1">
        <v>0.99890999999999996</v>
      </c>
      <c r="H31" t="s">
        <v>55</v>
      </c>
    </row>
    <row r="32" spans="1:12" x14ac:dyDescent="0.35">
      <c r="A32">
        <v>3000</v>
      </c>
      <c r="B32">
        <v>-378502.3</v>
      </c>
      <c r="C32">
        <v>11978.6</v>
      </c>
      <c r="D32" s="1">
        <v>-268.58999999999997</v>
      </c>
      <c r="E32">
        <v>-119.298</v>
      </c>
      <c r="F32" s="1">
        <v>12.997</v>
      </c>
      <c r="G32" s="1">
        <v>0.64393999999999996</v>
      </c>
      <c r="H32" t="s">
        <v>55</v>
      </c>
    </row>
    <row r="33" spans="1:8" x14ac:dyDescent="0.35">
      <c r="A33" t="s">
        <v>38</v>
      </c>
      <c r="B33" t="s">
        <v>14</v>
      </c>
      <c r="C33" t="s">
        <v>14</v>
      </c>
      <c r="D33" t="s">
        <v>15</v>
      </c>
      <c r="E33" t="s">
        <v>16</v>
      </c>
      <c r="F33" t="s">
        <v>16</v>
      </c>
      <c r="G33" t="s">
        <v>38</v>
      </c>
      <c r="H33" t="s">
        <v>56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B473-A45B-4ADE-B5DE-E644BCBF02A1}">
  <dimension ref="A1:O29"/>
  <sheetViews>
    <sheetView workbookViewId="0">
      <selection activeCell="O18" sqref="O18"/>
    </sheetView>
  </sheetViews>
  <sheetFormatPr defaultRowHeight="14.5" x14ac:dyDescent="0.35"/>
  <sheetData>
    <row r="1" spans="1:15" x14ac:dyDescent="0.35">
      <c r="A1" t="s">
        <v>60</v>
      </c>
      <c r="B1" t="s">
        <v>61</v>
      </c>
      <c r="C1" t="s">
        <v>62</v>
      </c>
    </row>
    <row r="2" spans="1:15" x14ac:dyDescent="0.35">
      <c r="A2" t="s">
        <v>35</v>
      </c>
      <c r="B2" t="s">
        <v>63</v>
      </c>
      <c r="C2" t="s">
        <v>64</v>
      </c>
    </row>
    <row r="3" spans="1:15" x14ac:dyDescent="0.35">
      <c r="A3" t="s">
        <v>36</v>
      </c>
      <c r="B3" t="s">
        <v>65</v>
      </c>
      <c r="C3" t="s">
        <v>66</v>
      </c>
    </row>
    <row r="5" spans="1:15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5" x14ac:dyDescent="0.35">
      <c r="A6" t="s">
        <v>38</v>
      </c>
      <c r="B6" t="s">
        <v>16</v>
      </c>
      <c r="C6" t="s">
        <v>14</v>
      </c>
      <c r="D6" t="s">
        <v>15</v>
      </c>
      <c r="E6" t="s">
        <v>16</v>
      </c>
      <c r="F6" t="s">
        <v>16</v>
      </c>
      <c r="G6" t="s">
        <v>17</v>
      </c>
    </row>
    <row r="8" spans="1:15" x14ac:dyDescent="0.35">
      <c r="A8" t="s">
        <v>18</v>
      </c>
      <c r="B8" t="s">
        <v>67</v>
      </c>
      <c r="C8" t="s">
        <v>20</v>
      </c>
      <c r="D8" t="s">
        <v>68</v>
      </c>
      <c r="E8" t="s">
        <v>58</v>
      </c>
      <c r="F8" t="s">
        <v>69</v>
      </c>
    </row>
    <row r="9" spans="1:15" x14ac:dyDescent="0.35">
      <c r="A9">
        <v>1500</v>
      </c>
      <c r="B9">
        <v>-441169.8</v>
      </c>
      <c r="C9">
        <v>-410264.1</v>
      </c>
      <c r="D9" s="1">
        <v>0</v>
      </c>
      <c r="E9">
        <v>-17.43</v>
      </c>
      <c r="F9" s="1">
        <v>26.751999999999999</v>
      </c>
      <c r="G9" s="1">
        <v>1217700000000</v>
      </c>
    </row>
    <row r="10" spans="1:15" x14ac:dyDescent="0.35">
      <c r="A10">
        <v>1600</v>
      </c>
      <c r="B10">
        <v>-438544.6</v>
      </c>
      <c r="C10">
        <v>-408594.3</v>
      </c>
      <c r="D10" s="1">
        <v>0</v>
      </c>
      <c r="E10">
        <v>-15.989000000000001</v>
      </c>
      <c r="F10" s="1">
        <v>25.648</v>
      </c>
      <c r="G10" s="1">
        <v>247610000000</v>
      </c>
    </row>
    <row r="11" spans="1:15" x14ac:dyDescent="0.35">
      <c r="A11">
        <v>1667.85</v>
      </c>
      <c r="B11">
        <v>-436840.2</v>
      </c>
      <c r="C11">
        <v>-407540.1</v>
      </c>
      <c r="D11" s="1">
        <v>0</v>
      </c>
      <c r="E11">
        <v>-15.095000000000001</v>
      </c>
      <c r="F11" s="1">
        <v>24.547000000000001</v>
      </c>
      <c r="G11" s="1">
        <v>92709000000</v>
      </c>
    </row>
    <row r="12" spans="1:15" x14ac:dyDescent="0.35">
      <c r="A12" t="s">
        <v>18</v>
      </c>
      <c r="B12" t="s">
        <v>70</v>
      </c>
      <c r="C12" t="s">
        <v>20</v>
      </c>
      <c r="D12" t="s">
        <v>68</v>
      </c>
      <c r="E12" t="s">
        <v>58</v>
      </c>
      <c r="F12" t="s">
        <v>41</v>
      </c>
    </row>
    <row r="13" spans="1:15" x14ac:dyDescent="0.35">
      <c r="A13" t="s">
        <v>71</v>
      </c>
      <c r="B13" t="s">
        <v>72</v>
      </c>
      <c r="C13" t="s">
        <v>26</v>
      </c>
      <c r="D13" t="s">
        <v>18</v>
      </c>
      <c r="E13" t="s">
        <v>73</v>
      </c>
    </row>
    <row r="14" spans="1:15" x14ac:dyDescent="0.35">
      <c r="A14">
        <v>1667.85</v>
      </c>
      <c r="B14">
        <v>-507570.1</v>
      </c>
      <c r="C14">
        <v>-407540.1</v>
      </c>
      <c r="D14" s="1">
        <v>0</v>
      </c>
      <c r="E14">
        <v>-51.534999999999997</v>
      </c>
      <c r="F14" s="1">
        <v>-17.780999999999999</v>
      </c>
      <c r="G14" s="1">
        <v>92709000000</v>
      </c>
      <c r="L14">
        <v>1667.85</v>
      </c>
      <c r="M14">
        <v>-407540.1</v>
      </c>
      <c r="N14">
        <f>M14/1000</f>
        <v>-407.5401</v>
      </c>
      <c r="O14">
        <f>N14/5</f>
        <v>-81.508020000000002</v>
      </c>
    </row>
    <row r="15" spans="1:15" x14ac:dyDescent="0.35">
      <c r="A15">
        <v>1700</v>
      </c>
      <c r="B15">
        <v>-508110.3</v>
      </c>
      <c r="C15">
        <v>-405878.7</v>
      </c>
      <c r="D15" s="1">
        <v>0</v>
      </c>
      <c r="E15">
        <v>-51.811</v>
      </c>
      <c r="F15" s="1">
        <v>-15.840999999999999</v>
      </c>
      <c r="G15" s="1">
        <v>55519000000</v>
      </c>
      <c r="L15">
        <v>1700</v>
      </c>
      <c r="M15">
        <v>-405878.7</v>
      </c>
      <c r="N15">
        <f t="shared" ref="N15:N28" si="0">M15/1000</f>
        <v>-405.87870000000004</v>
      </c>
      <c r="O15">
        <f t="shared" ref="O15:O28" si="1">N15/5</f>
        <v>-81.175740000000005</v>
      </c>
    </row>
    <row r="16" spans="1:15" x14ac:dyDescent="0.35">
      <c r="A16">
        <v>1800</v>
      </c>
      <c r="B16">
        <v>-509453.4</v>
      </c>
      <c r="C16">
        <v>-400662.3</v>
      </c>
      <c r="D16" s="1">
        <v>0</v>
      </c>
      <c r="E16">
        <v>-52.475999999999999</v>
      </c>
      <c r="F16" s="1">
        <v>-11.436</v>
      </c>
      <c r="G16" s="1">
        <v>12438000000</v>
      </c>
      <c r="L16">
        <v>1800</v>
      </c>
      <c r="M16">
        <v>-400662.3</v>
      </c>
      <c r="N16">
        <f t="shared" si="0"/>
        <v>-400.66230000000002</v>
      </c>
      <c r="O16">
        <f t="shared" si="1"/>
        <v>-80.132460000000009</v>
      </c>
    </row>
    <row r="17" spans="1:15" x14ac:dyDescent="0.35">
      <c r="A17">
        <v>1900</v>
      </c>
      <c r="B17">
        <v>-510434.1</v>
      </c>
      <c r="C17">
        <v>-395390.1</v>
      </c>
      <c r="D17" s="1">
        <v>0</v>
      </c>
      <c r="E17">
        <v>-52.939</v>
      </c>
      <c r="F17" s="1">
        <v>-8.3230000000000004</v>
      </c>
      <c r="G17" s="1">
        <v>3187900000</v>
      </c>
      <c r="L17">
        <v>1900</v>
      </c>
      <c r="M17">
        <v>-395390.1</v>
      </c>
      <c r="N17">
        <f t="shared" si="0"/>
        <v>-395.39009999999996</v>
      </c>
      <c r="O17">
        <f t="shared" si="1"/>
        <v>-79.078019999999995</v>
      </c>
    </row>
    <row r="18" spans="1:15" x14ac:dyDescent="0.35">
      <c r="A18">
        <v>2000</v>
      </c>
      <c r="B18">
        <v>-511143.8</v>
      </c>
      <c r="C18">
        <v>-390079.2</v>
      </c>
      <c r="D18" s="1">
        <v>0</v>
      </c>
      <c r="E18">
        <v>-53.259</v>
      </c>
      <c r="F18" s="1">
        <v>-5.9858000000000002</v>
      </c>
      <c r="G18" s="1">
        <v>919160000</v>
      </c>
      <c r="L18">
        <v>2000</v>
      </c>
      <c r="M18">
        <v>-390079.2</v>
      </c>
      <c r="N18">
        <f t="shared" si="0"/>
        <v>-390.07920000000001</v>
      </c>
      <c r="O18">
        <f t="shared" si="1"/>
        <v>-78.015839999999997</v>
      </c>
    </row>
    <row r="19" spans="1:15" x14ac:dyDescent="0.35">
      <c r="A19">
        <v>2100</v>
      </c>
      <c r="B19">
        <v>-511651.8</v>
      </c>
      <c r="C19">
        <v>-384741.7</v>
      </c>
      <c r="D19" s="1">
        <v>0</v>
      </c>
      <c r="E19">
        <v>-53.476999999999997</v>
      </c>
      <c r="F19" s="1">
        <v>-4.2634999999999996</v>
      </c>
      <c r="G19" s="1">
        <v>293910000</v>
      </c>
      <c r="L19">
        <v>2100</v>
      </c>
      <c r="M19">
        <v>-384741.7</v>
      </c>
      <c r="N19">
        <f t="shared" si="0"/>
        <v>-384.74170000000004</v>
      </c>
      <c r="O19">
        <f t="shared" si="1"/>
        <v>-76.948340000000002</v>
      </c>
    </row>
    <row r="20" spans="1:15" x14ac:dyDescent="0.35">
      <c r="A20">
        <v>2200</v>
      </c>
      <c r="B20">
        <v>-512012.7</v>
      </c>
      <c r="C20">
        <v>-379386.1</v>
      </c>
      <c r="D20" s="1">
        <v>0</v>
      </c>
      <c r="E20">
        <v>-53.627000000000002</v>
      </c>
      <c r="F20" s="1">
        <v>-3.0278</v>
      </c>
      <c r="G20" s="1">
        <v>102970000</v>
      </c>
      <c r="L20">
        <v>2200</v>
      </c>
      <c r="M20">
        <v>-379386.1</v>
      </c>
      <c r="N20">
        <f t="shared" si="0"/>
        <v>-379.3861</v>
      </c>
      <c r="O20">
        <f t="shared" si="1"/>
        <v>-75.877219999999994</v>
      </c>
    </row>
    <row r="21" spans="1:15" x14ac:dyDescent="0.35">
      <c r="A21">
        <v>2300</v>
      </c>
      <c r="B21">
        <v>-512270.1</v>
      </c>
      <c r="C21">
        <v>-374018</v>
      </c>
      <c r="D21" s="1">
        <v>0</v>
      </c>
      <c r="E21">
        <v>-53.728999999999999</v>
      </c>
      <c r="F21" s="1">
        <v>-2.1749000000000001</v>
      </c>
      <c r="G21" s="1">
        <v>39114000</v>
      </c>
      <c r="L21">
        <v>2300</v>
      </c>
      <c r="M21">
        <v>-374018</v>
      </c>
      <c r="N21">
        <f t="shared" si="0"/>
        <v>-374.01799999999997</v>
      </c>
      <c r="O21">
        <f t="shared" si="1"/>
        <v>-74.803599999999989</v>
      </c>
    </row>
    <row r="22" spans="1:15" x14ac:dyDescent="0.35">
      <c r="A22">
        <v>2400</v>
      </c>
      <c r="B22">
        <v>-512457.7</v>
      </c>
      <c r="C22">
        <v>-368641.3</v>
      </c>
      <c r="D22" s="1">
        <v>0</v>
      </c>
      <c r="E22">
        <v>-53.8</v>
      </c>
      <c r="F22" s="1">
        <v>-1.6203000000000001</v>
      </c>
      <c r="G22" s="1">
        <v>15968000</v>
      </c>
      <c r="L22">
        <v>2400</v>
      </c>
      <c r="M22">
        <v>-368641.3</v>
      </c>
      <c r="N22">
        <f t="shared" si="0"/>
        <v>-368.6413</v>
      </c>
      <c r="O22">
        <f t="shared" si="1"/>
        <v>-73.728260000000006</v>
      </c>
    </row>
    <row r="23" spans="1:15" x14ac:dyDescent="0.35">
      <c r="A23">
        <v>2500</v>
      </c>
      <c r="B23">
        <v>-512601.7</v>
      </c>
      <c r="C23">
        <v>-363258.5</v>
      </c>
      <c r="D23" s="1">
        <v>0</v>
      </c>
      <c r="E23">
        <v>-53.853000000000002</v>
      </c>
      <c r="F23" s="1">
        <v>-1.2945</v>
      </c>
      <c r="G23" s="1">
        <v>6952000</v>
      </c>
      <c r="L23">
        <v>2500</v>
      </c>
      <c r="M23">
        <v>-363258.5</v>
      </c>
      <c r="N23">
        <f t="shared" si="0"/>
        <v>-363.25850000000003</v>
      </c>
      <c r="O23">
        <f t="shared" si="1"/>
        <v>-72.651700000000005</v>
      </c>
    </row>
    <row r="24" spans="1:15" x14ac:dyDescent="0.35">
      <c r="A24">
        <v>2600</v>
      </c>
      <c r="B24">
        <v>-512722.3</v>
      </c>
      <c r="C24">
        <v>-357871</v>
      </c>
      <c r="D24" s="1">
        <v>0</v>
      </c>
      <c r="E24">
        <v>-53.896000000000001</v>
      </c>
      <c r="F24" s="1">
        <v>-1.1399999999999999</v>
      </c>
      <c r="G24" s="1">
        <v>3206500</v>
      </c>
      <c r="L24">
        <v>2600</v>
      </c>
      <c r="M24">
        <v>-357871</v>
      </c>
      <c r="N24">
        <f t="shared" si="0"/>
        <v>-357.87099999999998</v>
      </c>
      <c r="O24">
        <f t="shared" si="1"/>
        <v>-71.57419999999999</v>
      </c>
    </row>
    <row r="25" spans="1:15" x14ac:dyDescent="0.35">
      <c r="A25">
        <v>2700</v>
      </c>
      <c r="B25">
        <v>-512833.9</v>
      </c>
      <c r="C25">
        <v>-352479.5</v>
      </c>
      <c r="D25" s="1">
        <v>0</v>
      </c>
      <c r="E25">
        <v>-53.933999999999997</v>
      </c>
      <c r="F25" s="1">
        <v>-1.109</v>
      </c>
      <c r="G25" s="1">
        <v>1557700</v>
      </c>
      <c r="L25">
        <v>2700</v>
      </c>
      <c r="M25">
        <v>-352479.5</v>
      </c>
      <c r="N25">
        <f t="shared" si="0"/>
        <v>-352.47949999999997</v>
      </c>
      <c r="O25">
        <f t="shared" si="1"/>
        <v>-70.495899999999992</v>
      </c>
    </row>
    <row r="26" spans="1:15" x14ac:dyDescent="0.35">
      <c r="A26">
        <v>2800</v>
      </c>
      <c r="B26">
        <v>-512946.8</v>
      </c>
      <c r="C26">
        <v>-347084.2</v>
      </c>
      <c r="D26" s="1">
        <v>0</v>
      </c>
      <c r="E26">
        <v>-53.972000000000001</v>
      </c>
      <c r="F26" s="1">
        <v>-1.1614</v>
      </c>
      <c r="G26" s="1">
        <v>793010</v>
      </c>
      <c r="L26">
        <v>2800</v>
      </c>
      <c r="M26">
        <v>-347084.2</v>
      </c>
      <c r="N26">
        <f t="shared" si="0"/>
        <v>-347.08420000000001</v>
      </c>
      <c r="O26">
        <f t="shared" si="1"/>
        <v>-69.416840000000008</v>
      </c>
    </row>
    <row r="27" spans="1:15" x14ac:dyDescent="0.35">
      <c r="A27">
        <v>2900</v>
      </c>
      <c r="B27">
        <v>-513067.8</v>
      </c>
      <c r="C27">
        <v>-341685.1</v>
      </c>
      <c r="D27" s="1">
        <v>0</v>
      </c>
      <c r="E27">
        <v>-54.01</v>
      </c>
      <c r="F27" s="1">
        <v>-1.2634000000000001</v>
      </c>
      <c r="G27" s="1">
        <v>421200</v>
      </c>
      <c r="L27">
        <v>2900</v>
      </c>
      <c r="M27">
        <v>-341685.1</v>
      </c>
      <c r="N27">
        <f t="shared" si="0"/>
        <v>-341.68509999999998</v>
      </c>
      <c r="O27">
        <f t="shared" si="1"/>
        <v>-68.337019999999995</v>
      </c>
    </row>
    <row r="28" spans="1:15" x14ac:dyDescent="0.35">
      <c r="A28">
        <v>3000</v>
      </c>
      <c r="B28">
        <v>-513200.2</v>
      </c>
      <c r="C28">
        <v>-336282.1</v>
      </c>
      <c r="D28" s="1">
        <v>0</v>
      </c>
      <c r="E28">
        <v>-54.051000000000002</v>
      </c>
      <c r="F28" s="1">
        <v>-1.3862000000000001</v>
      </c>
      <c r="G28" s="1">
        <v>232500</v>
      </c>
      <c r="L28">
        <v>3000</v>
      </c>
      <c r="M28">
        <v>-336282.1</v>
      </c>
      <c r="N28">
        <f t="shared" si="0"/>
        <v>-336.28209999999996</v>
      </c>
      <c r="O28">
        <f t="shared" si="1"/>
        <v>-67.256419999999991</v>
      </c>
    </row>
    <row r="29" spans="1:15" x14ac:dyDescent="0.35">
      <c r="A29" t="s">
        <v>38</v>
      </c>
      <c r="B29" t="s">
        <v>16</v>
      </c>
      <c r="C29" t="s">
        <v>14</v>
      </c>
      <c r="D29" t="s">
        <v>15</v>
      </c>
      <c r="E29" t="s">
        <v>16</v>
      </c>
      <c r="F29" t="s">
        <v>16</v>
      </c>
      <c r="G29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B86D-F663-4241-BE62-DE26A3FD4D1D}">
  <dimension ref="A1:N62"/>
  <sheetViews>
    <sheetView workbookViewId="0">
      <selection activeCell="N17" sqref="N17"/>
    </sheetView>
  </sheetViews>
  <sheetFormatPr defaultRowHeight="14.5" x14ac:dyDescent="0.35"/>
  <cols>
    <col min="1" max="1" width="14.7265625" customWidth="1"/>
  </cols>
  <sheetData>
    <row r="1" spans="1:14" x14ac:dyDescent="0.35">
      <c r="A1" t="s">
        <v>74</v>
      </c>
      <c r="B1" t="s">
        <v>75</v>
      </c>
    </row>
    <row r="2" spans="1:14" x14ac:dyDescent="0.35">
      <c r="A2" t="s">
        <v>3</v>
      </c>
      <c r="B2" t="s">
        <v>76</v>
      </c>
    </row>
    <row r="3" spans="1:14" x14ac:dyDescent="0.35">
      <c r="A3" t="s">
        <v>52</v>
      </c>
      <c r="B3" t="s">
        <v>77</v>
      </c>
    </row>
    <row r="5" spans="1:14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4" x14ac:dyDescent="0.35">
      <c r="A6" t="s">
        <v>38</v>
      </c>
      <c r="B6" t="s">
        <v>16</v>
      </c>
      <c r="C6" t="s">
        <v>14</v>
      </c>
      <c r="D6" t="s">
        <v>15</v>
      </c>
      <c r="E6" t="s">
        <v>16</v>
      </c>
      <c r="F6" t="s">
        <v>16</v>
      </c>
      <c r="G6" t="s">
        <v>17</v>
      </c>
    </row>
    <row r="8" spans="1:14" x14ac:dyDescent="0.35">
      <c r="A8" t="s">
        <v>18</v>
      </c>
      <c r="B8" t="s">
        <v>67</v>
      </c>
      <c r="C8" t="s">
        <v>20</v>
      </c>
      <c r="D8" t="s">
        <v>78</v>
      </c>
      <c r="E8" t="s">
        <v>22</v>
      </c>
      <c r="F8" t="s">
        <v>59</v>
      </c>
    </row>
    <row r="9" spans="1:14" x14ac:dyDescent="0.35">
      <c r="A9">
        <v>1500</v>
      </c>
      <c r="B9">
        <v>-62197.3</v>
      </c>
      <c r="C9">
        <v>-101320.3</v>
      </c>
      <c r="D9" s="1">
        <v>0</v>
      </c>
      <c r="E9">
        <v>22.064</v>
      </c>
      <c r="F9" s="1">
        <v>-3.6288999999999998</v>
      </c>
      <c r="G9" s="1">
        <v>965.35</v>
      </c>
    </row>
    <row r="10" spans="1:14" x14ac:dyDescent="0.35">
      <c r="A10">
        <v>1600</v>
      </c>
      <c r="B10">
        <v>-62621.1</v>
      </c>
      <c r="C10">
        <v>-103515.6</v>
      </c>
      <c r="D10" s="1">
        <v>0</v>
      </c>
      <c r="E10">
        <v>21.832000000000001</v>
      </c>
      <c r="F10" s="1">
        <v>-4.8672000000000004</v>
      </c>
      <c r="G10" s="1">
        <v>770.13</v>
      </c>
      <c r="L10">
        <v>1500</v>
      </c>
      <c r="M10">
        <v>-101320.3</v>
      </c>
      <c r="N10">
        <f>M10/1000</f>
        <v>-101.3203</v>
      </c>
    </row>
    <row r="11" spans="1:14" x14ac:dyDescent="0.35">
      <c r="A11">
        <v>1667.85</v>
      </c>
      <c r="B11">
        <v>-62981.8</v>
      </c>
      <c r="C11">
        <v>-104990.6</v>
      </c>
      <c r="D11" s="1">
        <v>0</v>
      </c>
      <c r="E11">
        <v>21.643000000000001</v>
      </c>
      <c r="F11" s="1">
        <v>-5.7742000000000004</v>
      </c>
      <c r="G11" s="1">
        <v>668.89</v>
      </c>
      <c r="L11">
        <v>1600</v>
      </c>
      <c r="M11">
        <v>-103515.6</v>
      </c>
      <c r="N11">
        <f t="shared" ref="N11:N27" si="0">M11/1000</f>
        <v>-103.51560000000001</v>
      </c>
    </row>
    <row r="12" spans="1:14" x14ac:dyDescent="0.35">
      <c r="A12" t="s">
        <v>18</v>
      </c>
      <c r="B12" t="s">
        <v>70</v>
      </c>
      <c r="C12" t="s">
        <v>20</v>
      </c>
      <c r="D12" t="s">
        <v>78</v>
      </c>
      <c r="E12" t="s">
        <v>22</v>
      </c>
      <c r="F12" t="s">
        <v>18</v>
      </c>
      <c r="L12">
        <v>1667.85</v>
      </c>
      <c r="M12">
        <v>-104990.6</v>
      </c>
      <c r="N12">
        <f t="shared" si="0"/>
        <v>-104.9906</v>
      </c>
    </row>
    <row r="13" spans="1:14" x14ac:dyDescent="0.35">
      <c r="A13" t="s">
        <v>71</v>
      </c>
      <c r="B13" t="s">
        <v>72</v>
      </c>
      <c r="C13" t="s">
        <v>26</v>
      </c>
      <c r="D13" t="s">
        <v>18</v>
      </c>
      <c r="E13" t="s">
        <v>73</v>
      </c>
      <c r="L13">
        <v>1667.85</v>
      </c>
      <c r="M13">
        <v>-104990.6</v>
      </c>
      <c r="N13">
        <f t="shared" si="0"/>
        <v>-104.9906</v>
      </c>
    </row>
    <row r="14" spans="1:14" x14ac:dyDescent="0.35">
      <c r="A14">
        <v>1667.85</v>
      </c>
      <c r="B14">
        <v>-77127.8</v>
      </c>
      <c r="C14">
        <v>-104990.6</v>
      </c>
      <c r="D14" s="1">
        <v>0</v>
      </c>
      <c r="E14">
        <v>14.355</v>
      </c>
      <c r="F14" s="1">
        <v>-14.24</v>
      </c>
      <c r="G14" s="1">
        <v>668.89</v>
      </c>
      <c r="L14">
        <v>1700</v>
      </c>
      <c r="M14">
        <v>-105448.3</v>
      </c>
      <c r="N14">
        <f t="shared" si="0"/>
        <v>-105.4483</v>
      </c>
    </row>
    <row r="15" spans="1:14" x14ac:dyDescent="0.35">
      <c r="A15">
        <v>1700</v>
      </c>
      <c r="B15">
        <v>-77584.5</v>
      </c>
      <c r="C15">
        <v>-105448.3</v>
      </c>
      <c r="D15" s="1">
        <v>0</v>
      </c>
      <c r="E15">
        <v>14.121</v>
      </c>
      <c r="F15" s="1">
        <v>-14.176</v>
      </c>
      <c r="G15" s="1">
        <v>618.63</v>
      </c>
      <c r="L15">
        <v>1800</v>
      </c>
      <c r="M15">
        <v>-106825.2</v>
      </c>
      <c r="N15">
        <f t="shared" si="0"/>
        <v>-106.8252</v>
      </c>
    </row>
    <row r="16" spans="1:14" x14ac:dyDescent="0.35">
      <c r="A16">
        <v>1800</v>
      </c>
      <c r="B16">
        <v>-78998</v>
      </c>
      <c r="C16">
        <v>-106825.2</v>
      </c>
      <c r="D16" s="1">
        <v>0</v>
      </c>
      <c r="E16">
        <v>13.423</v>
      </c>
      <c r="F16" s="1">
        <v>-14.13</v>
      </c>
      <c r="G16" s="1">
        <v>491.45</v>
      </c>
      <c r="L16">
        <v>1900</v>
      </c>
      <c r="M16">
        <v>-108133.9</v>
      </c>
      <c r="N16">
        <f t="shared" si="0"/>
        <v>-108.1339</v>
      </c>
    </row>
    <row r="17" spans="1:14" x14ac:dyDescent="0.35">
      <c r="A17">
        <v>1900</v>
      </c>
      <c r="B17">
        <v>-80416.899999999994</v>
      </c>
      <c r="C17">
        <v>-108133.9</v>
      </c>
      <c r="D17" s="1">
        <v>0</v>
      </c>
      <c r="E17">
        <v>12.754</v>
      </c>
      <c r="F17" s="1">
        <v>-14.275</v>
      </c>
      <c r="G17" s="1">
        <v>397.27</v>
      </c>
      <c r="L17">
        <v>2000</v>
      </c>
      <c r="M17">
        <v>-109376.8</v>
      </c>
      <c r="N17">
        <f t="shared" si="0"/>
        <v>-109.3768</v>
      </c>
    </row>
    <row r="18" spans="1:14" x14ac:dyDescent="0.35">
      <c r="A18">
        <v>2000</v>
      </c>
      <c r="B18">
        <v>-81858.100000000006</v>
      </c>
      <c r="C18">
        <v>-109376.8</v>
      </c>
      <c r="D18" s="1">
        <v>0</v>
      </c>
      <c r="E18">
        <v>12.106</v>
      </c>
      <c r="F18" s="1">
        <v>-14.573</v>
      </c>
      <c r="G18" s="1">
        <v>326.06</v>
      </c>
      <c r="L18">
        <v>2100</v>
      </c>
      <c r="M18">
        <v>-110555.5</v>
      </c>
      <c r="N18">
        <f t="shared" si="0"/>
        <v>-110.55549999999999</v>
      </c>
    </row>
    <row r="19" spans="1:14" x14ac:dyDescent="0.35">
      <c r="A19">
        <v>2100</v>
      </c>
      <c r="B19">
        <v>-83335.399999999994</v>
      </c>
      <c r="C19">
        <v>-110555.5</v>
      </c>
      <c r="D19" s="1">
        <v>0</v>
      </c>
      <c r="E19">
        <v>11.47</v>
      </c>
      <c r="F19" s="1">
        <v>-14.99</v>
      </c>
      <c r="G19" s="1">
        <v>271.23</v>
      </c>
      <c r="L19">
        <v>2200</v>
      </c>
      <c r="M19">
        <v>-111671</v>
      </c>
      <c r="N19">
        <f t="shared" si="0"/>
        <v>-111.67100000000001</v>
      </c>
    </row>
    <row r="20" spans="1:14" x14ac:dyDescent="0.35">
      <c r="A20">
        <v>2200</v>
      </c>
      <c r="B20">
        <v>-84859.199999999997</v>
      </c>
      <c r="C20">
        <v>-111671</v>
      </c>
      <c r="D20" s="1">
        <v>0</v>
      </c>
      <c r="E20">
        <v>10.840999999999999</v>
      </c>
      <c r="F20" s="1">
        <v>-15.502000000000001</v>
      </c>
      <c r="G20" s="1">
        <v>228.3</v>
      </c>
      <c r="L20">
        <v>2300</v>
      </c>
      <c r="M20">
        <v>-112723.8</v>
      </c>
      <c r="N20">
        <f t="shared" si="0"/>
        <v>-112.7238</v>
      </c>
    </row>
    <row r="21" spans="1:14" x14ac:dyDescent="0.35">
      <c r="A21">
        <v>2300</v>
      </c>
      <c r="B21">
        <v>-86438.2</v>
      </c>
      <c r="C21">
        <v>-112723.8</v>
      </c>
      <c r="D21" s="1">
        <v>0</v>
      </c>
      <c r="E21">
        <v>10.215</v>
      </c>
      <c r="F21" s="1">
        <v>-16.087</v>
      </c>
      <c r="G21" s="1">
        <v>194.19</v>
      </c>
      <c r="L21">
        <v>2400</v>
      </c>
      <c r="M21">
        <v>-113714.1</v>
      </c>
      <c r="N21">
        <f t="shared" si="0"/>
        <v>-113.7141</v>
      </c>
    </row>
    <row r="22" spans="1:14" x14ac:dyDescent="0.35">
      <c r="A22">
        <v>2400</v>
      </c>
      <c r="B22">
        <v>-88078.6</v>
      </c>
      <c r="C22">
        <v>-113714.1</v>
      </c>
      <c r="D22" s="1">
        <v>0</v>
      </c>
      <c r="E22">
        <v>9.59</v>
      </c>
      <c r="F22" s="1">
        <v>-16.73</v>
      </c>
      <c r="G22" s="1">
        <v>166.71</v>
      </c>
      <c r="L22">
        <v>2500</v>
      </c>
      <c r="M22">
        <v>-114641.8</v>
      </c>
      <c r="N22">
        <f t="shared" si="0"/>
        <v>-114.6418</v>
      </c>
    </row>
    <row r="23" spans="1:14" x14ac:dyDescent="0.35">
      <c r="A23">
        <v>2500</v>
      </c>
      <c r="B23">
        <v>-89785.7</v>
      </c>
      <c r="C23">
        <v>-114641.8</v>
      </c>
      <c r="D23" s="1">
        <v>0</v>
      </c>
      <c r="E23">
        <v>8.9629999999999992</v>
      </c>
      <c r="F23" s="1">
        <v>-17.417000000000002</v>
      </c>
      <c r="G23" s="1">
        <v>144.32</v>
      </c>
      <c r="L23">
        <v>2600</v>
      </c>
      <c r="M23">
        <v>-115506.6</v>
      </c>
      <c r="N23">
        <f t="shared" si="0"/>
        <v>-115.50660000000001</v>
      </c>
    </row>
    <row r="24" spans="1:14" x14ac:dyDescent="0.35">
      <c r="A24">
        <v>2600</v>
      </c>
      <c r="B24">
        <v>-91563.1</v>
      </c>
      <c r="C24">
        <v>-115506.6</v>
      </c>
      <c r="D24" s="1">
        <v>0</v>
      </c>
      <c r="E24">
        <v>8.3339999999999996</v>
      </c>
      <c r="F24" s="1">
        <v>-18.135999999999999</v>
      </c>
      <c r="G24" s="1">
        <v>125.86</v>
      </c>
      <c r="L24">
        <v>2700</v>
      </c>
      <c r="M24">
        <v>-116308.4</v>
      </c>
      <c r="N24">
        <f t="shared" si="0"/>
        <v>-116.30839999999999</v>
      </c>
    </row>
    <row r="25" spans="1:14" x14ac:dyDescent="0.35">
      <c r="A25">
        <v>2700</v>
      </c>
      <c r="B25">
        <v>-93413.6</v>
      </c>
      <c r="C25">
        <v>-116308.4</v>
      </c>
      <c r="D25" s="1">
        <v>0</v>
      </c>
      <c r="E25">
        <v>7.7009999999999996</v>
      </c>
      <c r="F25" s="1">
        <v>-18.876999999999999</v>
      </c>
      <c r="G25" s="1">
        <v>110.5</v>
      </c>
      <c r="L25">
        <v>2800</v>
      </c>
      <c r="M25">
        <v>-117046.6</v>
      </c>
      <c r="N25">
        <f t="shared" si="0"/>
        <v>-117.04660000000001</v>
      </c>
    </row>
    <row r="26" spans="1:14" x14ac:dyDescent="0.35">
      <c r="A26">
        <v>2800</v>
      </c>
      <c r="B26">
        <v>-95339</v>
      </c>
      <c r="C26">
        <v>-117046.6</v>
      </c>
      <c r="D26" s="1">
        <v>0</v>
      </c>
      <c r="E26">
        <v>7.0640000000000001</v>
      </c>
      <c r="F26" s="1">
        <v>-19.634</v>
      </c>
      <c r="G26" s="1">
        <v>97.588999999999999</v>
      </c>
      <c r="L26">
        <v>2900</v>
      </c>
      <c r="M26">
        <v>-117721</v>
      </c>
      <c r="N26">
        <f t="shared" si="0"/>
        <v>-117.721</v>
      </c>
    </row>
    <row r="27" spans="1:14" x14ac:dyDescent="0.35">
      <c r="A27">
        <v>2900</v>
      </c>
      <c r="B27">
        <v>-97340.6</v>
      </c>
      <c r="C27">
        <v>-117721</v>
      </c>
      <c r="D27" s="1">
        <v>0</v>
      </c>
      <c r="E27">
        <v>6.423</v>
      </c>
      <c r="F27" s="1">
        <v>-20.398</v>
      </c>
      <c r="G27" s="1">
        <v>86.658000000000001</v>
      </c>
      <c r="L27">
        <v>3000</v>
      </c>
      <c r="M27">
        <v>-118331</v>
      </c>
      <c r="N27">
        <f t="shared" si="0"/>
        <v>-118.331</v>
      </c>
    </row>
    <row r="28" spans="1:14" x14ac:dyDescent="0.35">
      <c r="A28">
        <v>3000</v>
      </c>
      <c r="B28">
        <v>-99418.7</v>
      </c>
      <c r="C28">
        <v>-118331</v>
      </c>
      <c r="D28" s="1">
        <v>0</v>
      </c>
      <c r="E28">
        <v>5.7779999999999996</v>
      </c>
      <c r="F28" s="1">
        <v>-21.164999999999999</v>
      </c>
      <c r="G28" s="1">
        <v>77.328999999999994</v>
      </c>
    </row>
    <row r="29" spans="1:14" x14ac:dyDescent="0.35">
      <c r="A29" t="s">
        <v>38</v>
      </c>
      <c r="B29" t="s">
        <v>16</v>
      </c>
      <c r="C29" t="s">
        <v>14</v>
      </c>
      <c r="D29" s="1" t="s">
        <v>15</v>
      </c>
      <c r="E29" t="s">
        <v>16</v>
      </c>
      <c r="F29" s="1" t="s">
        <v>16</v>
      </c>
      <c r="G29" s="1" t="s">
        <v>17</v>
      </c>
    </row>
    <row r="30" spans="1:14" x14ac:dyDescent="0.35">
      <c r="D30" s="1"/>
      <c r="F30" s="1"/>
      <c r="G30" s="1"/>
    </row>
    <row r="31" spans="1:14" x14ac:dyDescent="0.35">
      <c r="D31" s="1"/>
      <c r="F31" s="1"/>
      <c r="G31" s="1"/>
    </row>
    <row r="34" spans="4:7" x14ac:dyDescent="0.35">
      <c r="D34" s="1"/>
      <c r="F34" s="1"/>
      <c r="G34" s="1"/>
    </row>
    <row r="35" spans="4:7" x14ac:dyDescent="0.35">
      <c r="D35" s="1"/>
      <c r="F35" s="1"/>
      <c r="G35" s="1"/>
    </row>
    <row r="36" spans="4:7" x14ac:dyDescent="0.35">
      <c r="D36" s="1"/>
      <c r="F36" s="1"/>
      <c r="G36" s="1"/>
    </row>
    <row r="39" spans="4:7" x14ac:dyDescent="0.35">
      <c r="D39" s="1"/>
      <c r="F39" s="1"/>
      <c r="G39" s="1"/>
    </row>
    <row r="40" spans="4:7" x14ac:dyDescent="0.35">
      <c r="D40" s="1"/>
      <c r="F40" s="1"/>
      <c r="G40" s="1"/>
    </row>
    <row r="41" spans="4:7" x14ac:dyDescent="0.35">
      <c r="D41" s="1"/>
      <c r="F41" s="1"/>
      <c r="G41" s="1"/>
    </row>
    <row r="43" spans="4:7" x14ac:dyDescent="0.35">
      <c r="D43" s="1"/>
      <c r="F43" s="1"/>
      <c r="G43" s="1"/>
    </row>
    <row r="44" spans="4:7" x14ac:dyDescent="0.35">
      <c r="D44" s="1"/>
      <c r="F44" s="1"/>
      <c r="G44" s="1"/>
    </row>
    <row r="45" spans="4:7" x14ac:dyDescent="0.35">
      <c r="D45" s="1"/>
      <c r="F45" s="1"/>
      <c r="G45" s="1"/>
    </row>
    <row r="48" spans="4:7" x14ac:dyDescent="0.35">
      <c r="D48" s="1"/>
      <c r="F48" s="1"/>
      <c r="G48" s="1"/>
    </row>
    <row r="49" spans="4:7" x14ac:dyDescent="0.35">
      <c r="D49" s="1"/>
      <c r="F49" s="1"/>
      <c r="G49" s="1"/>
    </row>
    <row r="50" spans="4:7" x14ac:dyDescent="0.35">
      <c r="D50" s="1"/>
      <c r="F50" s="1"/>
      <c r="G50" s="1"/>
    </row>
    <row r="51" spans="4:7" x14ac:dyDescent="0.35">
      <c r="D51" s="1"/>
      <c r="F51" s="1"/>
      <c r="G51" s="1"/>
    </row>
    <row r="52" spans="4:7" x14ac:dyDescent="0.35">
      <c r="D52" s="1"/>
      <c r="F52" s="1"/>
      <c r="G52" s="1"/>
    </row>
    <row r="53" spans="4:7" x14ac:dyDescent="0.35">
      <c r="D53" s="1"/>
      <c r="F53" s="1"/>
      <c r="G53" s="1"/>
    </row>
    <row r="54" spans="4:7" x14ac:dyDescent="0.35">
      <c r="D54" s="1"/>
      <c r="F54" s="1"/>
      <c r="G54" s="1"/>
    </row>
    <row r="55" spans="4:7" x14ac:dyDescent="0.35">
      <c r="D55" s="1"/>
      <c r="F55" s="1"/>
      <c r="G55" s="1"/>
    </row>
    <row r="56" spans="4:7" x14ac:dyDescent="0.35">
      <c r="D56" s="1"/>
      <c r="F56" s="1"/>
      <c r="G56" s="1"/>
    </row>
    <row r="57" spans="4:7" x14ac:dyDescent="0.35">
      <c r="D57" s="1"/>
      <c r="F57" s="1"/>
      <c r="G57" s="1"/>
    </row>
    <row r="58" spans="4:7" x14ac:dyDescent="0.35">
      <c r="D58" s="1"/>
      <c r="F58" s="1"/>
      <c r="G58" s="1"/>
    </row>
    <row r="59" spans="4:7" x14ac:dyDescent="0.35">
      <c r="D59" s="1"/>
      <c r="F59" s="1"/>
      <c r="G59" s="1"/>
    </row>
    <row r="60" spans="4:7" x14ac:dyDescent="0.35">
      <c r="D60" s="1"/>
      <c r="F60" s="1"/>
      <c r="G60" s="1"/>
    </row>
    <row r="61" spans="4:7" x14ac:dyDescent="0.35">
      <c r="D61" s="1"/>
      <c r="F61" s="1"/>
      <c r="G61" s="1"/>
    </row>
    <row r="62" spans="4:7" x14ac:dyDescent="0.35">
      <c r="D62" s="1"/>
      <c r="F62" s="1"/>
      <c r="G62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3F2C-019C-4BD6-8D67-166B65EC87D3}">
  <dimension ref="A1:L30"/>
  <sheetViews>
    <sheetView workbookViewId="0">
      <selection activeCell="L20" sqref="L20"/>
    </sheetView>
  </sheetViews>
  <sheetFormatPr defaultRowHeight="14.5" x14ac:dyDescent="0.35"/>
  <sheetData>
    <row r="1" spans="1:12" x14ac:dyDescent="0.35">
      <c r="A1" t="s">
        <v>96</v>
      </c>
      <c r="B1" t="s">
        <v>97</v>
      </c>
    </row>
    <row r="2" spans="1:12" x14ac:dyDescent="0.35">
      <c r="A2" t="s">
        <v>3</v>
      </c>
      <c r="B2" t="s">
        <v>63</v>
      </c>
    </row>
    <row r="3" spans="1:12" x14ac:dyDescent="0.35">
      <c r="A3" t="s">
        <v>52</v>
      </c>
      <c r="B3" t="s">
        <v>98</v>
      </c>
    </row>
    <row r="5" spans="1:12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2" x14ac:dyDescent="0.35">
      <c r="A6" t="s">
        <v>38</v>
      </c>
      <c r="B6" t="s">
        <v>16</v>
      </c>
      <c r="C6" t="s">
        <v>85</v>
      </c>
      <c r="D6" t="s">
        <v>15</v>
      </c>
      <c r="E6" t="s">
        <v>16</v>
      </c>
      <c r="F6" t="s">
        <v>16</v>
      </c>
      <c r="G6" t="s">
        <v>17</v>
      </c>
    </row>
    <row r="8" spans="1:12" x14ac:dyDescent="0.35">
      <c r="A8" t="s">
        <v>18</v>
      </c>
      <c r="B8" t="s">
        <v>67</v>
      </c>
      <c r="C8" t="s">
        <v>58</v>
      </c>
      <c r="D8" t="s">
        <v>78</v>
      </c>
      <c r="E8" t="s">
        <v>18</v>
      </c>
    </row>
    <row r="9" spans="1:12" x14ac:dyDescent="0.35">
      <c r="A9">
        <v>1500</v>
      </c>
      <c r="B9">
        <v>-185264.7</v>
      </c>
      <c r="C9">
        <v>-158221.4</v>
      </c>
      <c r="D9" s="1">
        <v>0</v>
      </c>
      <c r="E9">
        <v>-15.252000000000001</v>
      </c>
      <c r="F9" s="1">
        <v>-2.3712</v>
      </c>
      <c r="G9" s="1">
        <v>45801</v>
      </c>
    </row>
    <row r="10" spans="1:12" x14ac:dyDescent="0.35">
      <c r="A10">
        <v>1600</v>
      </c>
      <c r="B10">
        <v>-185556.6</v>
      </c>
      <c r="C10">
        <v>-156688.70000000001</v>
      </c>
      <c r="D10" s="1">
        <v>0</v>
      </c>
      <c r="E10">
        <v>-15.411</v>
      </c>
      <c r="F10" s="1">
        <v>-3.4887000000000001</v>
      </c>
      <c r="G10" s="1">
        <v>23405</v>
      </c>
    </row>
    <row r="11" spans="1:12" x14ac:dyDescent="0.35">
      <c r="A11">
        <v>1667.85</v>
      </c>
      <c r="B11">
        <v>-185821.3</v>
      </c>
      <c r="C11">
        <v>-155638.5</v>
      </c>
      <c r="D11" s="1">
        <v>0</v>
      </c>
      <c r="E11">
        <v>-15.55</v>
      </c>
      <c r="F11" s="1">
        <v>-4.3221999999999996</v>
      </c>
      <c r="G11" s="1">
        <v>15428</v>
      </c>
    </row>
    <row r="12" spans="1:12" x14ac:dyDescent="0.35">
      <c r="A12" t="s">
        <v>18</v>
      </c>
      <c r="B12" t="s">
        <v>70</v>
      </c>
      <c r="C12" t="s">
        <v>58</v>
      </c>
      <c r="D12" t="s">
        <v>78</v>
      </c>
      <c r="E12" t="s">
        <v>18</v>
      </c>
    </row>
    <row r="13" spans="1:12" x14ac:dyDescent="0.35">
      <c r="A13" t="s">
        <v>71</v>
      </c>
      <c r="B13" t="s">
        <v>72</v>
      </c>
      <c r="C13" t="s">
        <v>26</v>
      </c>
      <c r="D13" t="s">
        <v>18</v>
      </c>
      <c r="E13" t="s">
        <v>73</v>
      </c>
      <c r="J13">
        <v>1500</v>
      </c>
      <c r="K13">
        <v>-158221.4</v>
      </c>
      <c r="L13">
        <f>K13/1000</f>
        <v>-158.22139999999999</v>
      </c>
    </row>
    <row r="14" spans="1:12" x14ac:dyDescent="0.35">
      <c r="A14">
        <v>1667.85</v>
      </c>
      <c r="B14">
        <v>-199967.3</v>
      </c>
      <c r="C14">
        <v>-155638.5</v>
      </c>
      <c r="D14" s="1">
        <v>0</v>
      </c>
      <c r="E14">
        <v>-22.838000000000001</v>
      </c>
      <c r="F14" s="1">
        <v>-12.788</v>
      </c>
      <c r="G14" s="1">
        <v>15428</v>
      </c>
      <c r="J14">
        <v>1600</v>
      </c>
      <c r="K14">
        <v>-156688.70000000001</v>
      </c>
      <c r="L14">
        <f t="shared" ref="L14:L30" si="0">K14/1000</f>
        <v>-156.68870000000001</v>
      </c>
    </row>
    <row r="15" spans="1:12" x14ac:dyDescent="0.35">
      <c r="A15">
        <v>1700</v>
      </c>
      <c r="B15">
        <v>-200376.8</v>
      </c>
      <c r="C15">
        <v>-154900.79999999999</v>
      </c>
      <c r="D15" s="1">
        <v>0</v>
      </c>
      <c r="E15">
        <v>-23.047000000000001</v>
      </c>
      <c r="F15" s="1">
        <v>-12.692</v>
      </c>
      <c r="G15" s="1">
        <v>12605</v>
      </c>
      <c r="J15">
        <v>1667.85</v>
      </c>
      <c r="K15">
        <v>-155638.5</v>
      </c>
      <c r="L15">
        <f t="shared" si="0"/>
        <v>-155.63849999999999</v>
      </c>
    </row>
    <row r="16" spans="1:12" x14ac:dyDescent="0.35">
      <c r="A16">
        <v>1800</v>
      </c>
      <c r="B16">
        <v>-201637.1</v>
      </c>
      <c r="C16">
        <v>-152564.6</v>
      </c>
      <c r="D16" s="1">
        <v>0</v>
      </c>
      <c r="E16">
        <v>-23.67</v>
      </c>
      <c r="F16" s="1">
        <v>-12.552</v>
      </c>
      <c r="G16" s="1">
        <v>6980.5</v>
      </c>
      <c r="J16">
        <v>1667.85</v>
      </c>
      <c r="K16">
        <v>-155638.5</v>
      </c>
      <c r="L16">
        <f t="shared" si="0"/>
        <v>-155.63849999999999</v>
      </c>
    </row>
    <row r="17" spans="1:12" x14ac:dyDescent="0.35">
      <c r="A17">
        <v>1900</v>
      </c>
      <c r="B17">
        <v>-202894</v>
      </c>
      <c r="C17">
        <v>-150167.79999999999</v>
      </c>
      <c r="D17" s="1">
        <v>0</v>
      </c>
      <c r="E17">
        <v>-24.263000000000002</v>
      </c>
      <c r="F17" s="1">
        <v>-12.617000000000001</v>
      </c>
      <c r="G17" s="1">
        <v>4068.2</v>
      </c>
      <c r="J17">
        <v>1700</v>
      </c>
      <c r="K17">
        <v>-154900.79999999999</v>
      </c>
      <c r="L17">
        <f t="shared" si="0"/>
        <v>-154.90079999999998</v>
      </c>
    </row>
    <row r="18" spans="1:12" x14ac:dyDescent="0.35">
      <c r="A18">
        <v>2000</v>
      </c>
      <c r="B18">
        <v>-204165.9</v>
      </c>
      <c r="C18">
        <v>-147712.79999999999</v>
      </c>
      <c r="D18" s="1">
        <v>0</v>
      </c>
      <c r="E18">
        <v>-24.835000000000001</v>
      </c>
      <c r="F18" s="1">
        <v>-12.843999999999999</v>
      </c>
      <c r="G18" s="1">
        <v>2478.6</v>
      </c>
      <c r="J18">
        <v>1800</v>
      </c>
      <c r="K18">
        <v>-152564.6</v>
      </c>
      <c r="L18">
        <f t="shared" si="0"/>
        <v>-152.56460000000001</v>
      </c>
    </row>
    <row r="19" spans="1:12" x14ac:dyDescent="0.35">
      <c r="A19">
        <v>2100</v>
      </c>
      <c r="B19">
        <v>-205467.3</v>
      </c>
      <c r="C19">
        <v>-145201.20000000001</v>
      </c>
      <c r="D19" s="1">
        <v>0</v>
      </c>
      <c r="E19">
        <v>-25.395</v>
      </c>
      <c r="F19" s="1">
        <v>-13.202</v>
      </c>
      <c r="G19" s="1">
        <v>1570</v>
      </c>
      <c r="J19">
        <v>1900</v>
      </c>
      <c r="K19">
        <v>-150167.79999999999</v>
      </c>
      <c r="L19">
        <f t="shared" si="0"/>
        <v>-150.1678</v>
      </c>
    </row>
    <row r="20" spans="1:12" x14ac:dyDescent="0.35">
      <c r="A20">
        <v>2200</v>
      </c>
      <c r="B20">
        <v>-206809.7</v>
      </c>
      <c r="C20">
        <v>-142634</v>
      </c>
      <c r="D20" s="1">
        <v>0</v>
      </c>
      <c r="E20">
        <v>-25.949000000000002</v>
      </c>
      <c r="F20" s="1">
        <v>-13.662000000000001</v>
      </c>
      <c r="G20" s="1">
        <v>1029.0999999999999</v>
      </c>
      <c r="J20">
        <v>2000</v>
      </c>
      <c r="K20">
        <v>-147712.79999999999</v>
      </c>
      <c r="L20">
        <f t="shared" si="0"/>
        <v>-147.71279999999999</v>
      </c>
    </row>
    <row r="21" spans="1:12" x14ac:dyDescent="0.35">
      <c r="A21">
        <v>2300</v>
      </c>
      <c r="B21">
        <v>-208202.5</v>
      </c>
      <c r="C21">
        <v>-140011.5</v>
      </c>
      <c r="D21" s="1">
        <v>0</v>
      </c>
      <c r="E21">
        <v>-26.501000000000001</v>
      </c>
      <c r="F21" s="1">
        <v>-14.205</v>
      </c>
      <c r="G21" s="1">
        <v>695.26</v>
      </c>
      <c r="J21">
        <v>2100</v>
      </c>
      <c r="K21">
        <v>-145201.20000000001</v>
      </c>
      <c r="L21">
        <f t="shared" si="0"/>
        <v>-145.2012</v>
      </c>
    </row>
    <row r="22" spans="1:12" x14ac:dyDescent="0.35">
      <c r="A22">
        <v>2400</v>
      </c>
      <c r="B22">
        <v>-209652.9</v>
      </c>
      <c r="C22">
        <v>-137333.79999999999</v>
      </c>
      <c r="D22" s="1">
        <v>0</v>
      </c>
      <c r="E22">
        <v>-27.053999999999998</v>
      </c>
      <c r="F22" s="1">
        <v>-14.813000000000001</v>
      </c>
      <c r="G22" s="1">
        <v>482.5</v>
      </c>
      <c r="J22">
        <v>2200</v>
      </c>
      <c r="K22">
        <v>-142634</v>
      </c>
      <c r="L22">
        <f t="shared" si="0"/>
        <v>-142.63399999999999</v>
      </c>
    </row>
    <row r="23" spans="1:12" x14ac:dyDescent="0.35">
      <c r="A23">
        <v>2500</v>
      </c>
      <c r="B23">
        <v>-211166.7</v>
      </c>
      <c r="C23">
        <v>-134600.6</v>
      </c>
      <c r="D23" s="1">
        <v>0</v>
      </c>
      <c r="E23">
        <v>-27.61</v>
      </c>
      <c r="F23" s="1">
        <v>-15.471</v>
      </c>
      <c r="G23" s="1">
        <v>342.97</v>
      </c>
      <c r="J23">
        <v>2300</v>
      </c>
      <c r="K23">
        <v>-140011.5</v>
      </c>
      <c r="L23">
        <f t="shared" si="0"/>
        <v>-140.01150000000001</v>
      </c>
    </row>
    <row r="24" spans="1:12" x14ac:dyDescent="0.35">
      <c r="A24">
        <v>2600</v>
      </c>
      <c r="B24">
        <v>-212748.3</v>
      </c>
      <c r="C24">
        <v>-131811.70000000001</v>
      </c>
      <c r="D24" s="1">
        <v>0</v>
      </c>
      <c r="E24">
        <v>-28.17</v>
      </c>
      <c r="F24" s="1">
        <v>-16.167000000000002</v>
      </c>
      <c r="G24" s="1">
        <v>249.06</v>
      </c>
      <c r="J24">
        <v>2400</v>
      </c>
      <c r="K24">
        <v>-137333.79999999999</v>
      </c>
      <c r="L24">
        <f t="shared" si="0"/>
        <v>-137.3338</v>
      </c>
    </row>
    <row r="25" spans="1:12" x14ac:dyDescent="0.35">
      <c r="A25">
        <v>2700</v>
      </c>
      <c r="B25">
        <v>-214401</v>
      </c>
      <c r="C25">
        <v>-128966.39999999999</v>
      </c>
      <c r="D25" s="1">
        <v>0</v>
      </c>
      <c r="E25">
        <v>-28.734999999999999</v>
      </c>
      <c r="F25" s="1">
        <v>-16.891999999999999</v>
      </c>
      <c r="G25" s="1">
        <v>184.39</v>
      </c>
      <c r="J25">
        <v>2500</v>
      </c>
      <c r="K25">
        <v>-134600.6</v>
      </c>
      <c r="L25">
        <f t="shared" si="0"/>
        <v>-134.60060000000001</v>
      </c>
    </row>
    <row r="26" spans="1:12" x14ac:dyDescent="0.35">
      <c r="A26">
        <v>2800</v>
      </c>
      <c r="B26">
        <v>-216127.4</v>
      </c>
      <c r="C26">
        <v>-126064.4</v>
      </c>
      <c r="D26" s="1">
        <v>0</v>
      </c>
      <c r="E26">
        <v>-29.306000000000001</v>
      </c>
      <c r="F26" s="1">
        <v>-17.637</v>
      </c>
      <c r="G26" s="1">
        <v>138.88999999999999</v>
      </c>
      <c r="J26">
        <v>2600</v>
      </c>
      <c r="K26">
        <v>-131811.70000000001</v>
      </c>
      <c r="L26">
        <f t="shared" si="0"/>
        <v>-131.8117</v>
      </c>
    </row>
    <row r="27" spans="1:12" x14ac:dyDescent="0.35">
      <c r="A27">
        <v>2900</v>
      </c>
      <c r="B27">
        <v>-217929</v>
      </c>
      <c r="C27">
        <v>-123105</v>
      </c>
      <c r="D27" s="1">
        <v>0</v>
      </c>
      <c r="E27">
        <v>-29.882999999999999</v>
      </c>
      <c r="F27" s="1">
        <v>-18.396000000000001</v>
      </c>
      <c r="G27" s="1">
        <v>106.28</v>
      </c>
      <c r="J27">
        <v>2700</v>
      </c>
      <c r="K27">
        <v>-128966.39999999999</v>
      </c>
      <c r="L27">
        <f t="shared" si="0"/>
        <v>-128.96639999999999</v>
      </c>
    </row>
    <row r="28" spans="1:12" x14ac:dyDescent="0.35">
      <c r="A28">
        <v>3000</v>
      </c>
      <c r="B28">
        <v>-219806.8</v>
      </c>
      <c r="C28">
        <v>-120087.6</v>
      </c>
      <c r="D28" s="1">
        <v>0</v>
      </c>
      <c r="E28">
        <v>-30.466000000000001</v>
      </c>
      <c r="F28" s="1">
        <v>-19.161000000000001</v>
      </c>
      <c r="G28" s="1">
        <v>82.483999999999995</v>
      </c>
      <c r="J28">
        <v>2800</v>
      </c>
      <c r="K28">
        <v>-126064.4</v>
      </c>
      <c r="L28">
        <f t="shared" si="0"/>
        <v>-126.06439999999999</v>
      </c>
    </row>
    <row r="29" spans="1:12" x14ac:dyDescent="0.35">
      <c r="A29" t="s">
        <v>38</v>
      </c>
      <c r="B29" t="s">
        <v>16</v>
      </c>
      <c r="C29" t="s">
        <v>85</v>
      </c>
      <c r="D29" t="s">
        <v>15</v>
      </c>
      <c r="E29" t="s">
        <v>16</v>
      </c>
      <c r="F29" t="s">
        <v>16</v>
      </c>
      <c r="G29" t="s">
        <v>17</v>
      </c>
      <c r="J29">
        <v>2900</v>
      </c>
      <c r="K29">
        <v>-123105</v>
      </c>
      <c r="L29">
        <f t="shared" si="0"/>
        <v>-123.105</v>
      </c>
    </row>
    <row r="30" spans="1:12" x14ac:dyDescent="0.35">
      <c r="J30">
        <v>3000</v>
      </c>
      <c r="K30">
        <v>-120087.6</v>
      </c>
      <c r="L30">
        <f t="shared" si="0"/>
        <v>-120.08760000000001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D00F-56E2-4D50-9CB4-7CC6E179F71A}">
  <dimension ref="A1:N25"/>
  <sheetViews>
    <sheetView tabSelected="1" zoomScale="160" zoomScaleNormal="160" workbookViewId="0">
      <selection activeCell="N14" sqref="N14"/>
    </sheetView>
  </sheetViews>
  <sheetFormatPr defaultRowHeight="14.5" x14ac:dyDescent="0.35"/>
  <sheetData>
    <row r="1" spans="1:14" x14ac:dyDescent="0.35">
      <c r="A1" t="s">
        <v>79</v>
      </c>
      <c r="B1" t="s">
        <v>80</v>
      </c>
    </row>
    <row r="2" spans="1:14" x14ac:dyDescent="0.35">
      <c r="A2" t="s">
        <v>81</v>
      </c>
      <c r="B2" t="s">
        <v>82</v>
      </c>
    </row>
    <row r="3" spans="1:14" x14ac:dyDescent="0.35">
      <c r="A3" t="s">
        <v>83</v>
      </c>
      <c r="B3" t="s">
        <v>52</v>
      </c>
    </row>
    <row r="5" spans="1:14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4" x14ac:dyDescent="0.35">
      <c r="A6" t="s">
        <v>84</v>
      </c>
      <c r="B6" t="s">
        <v>85</v>
      </c>
      <c r="C6" t="s">
        <v>85</v>
      </c>
      <c r="D6" t="s">
        <v>15</v>
      </c>
      <c r="E6" t="s">
        <v>16</v>
      </c>
      <c r="F6" t="s">
        <v>16</v>
      </c>
      <c r="G6" t="s">
        <v>17</v>
      </c>
    </row>
    <row r="8" spans="1:14" x14ac:dyDescent="0.35">
      <c r="A8" t="s">
        <v>18</v>
      </c>
      <c r="B8" t="s">
        <v>58</v>
      </c>
      <c r="C8" t="s">
        <v>22</v>
      </c>
      <c r="D8" t="s">
        <v>20</v>
      </c>
      <c r="E8" t="s">
        <v>18</v>
      </c>
    </row>
    <row r="9" spans="1:14" x14ac:dyDescent="0.35">
      <c r="A9">
        <v>1500</v>
      </c>
      <c r="B9">
        <v>-123067.4</v>
      </c>
      <c r="C9">
        <v>-56901.1</v>
      </c>
      <c r="D9" s="1">
        <v>0</v>
      </c>
      <c r="E9">
        <v>-37.316000000000003</v>
      </c>
      <c r="F9" s="1">
        <v>1.2577</v>
      </c>
      <c r="G9" s="1">
        <v>47.445</v>
      </c>
      <c r="L9">
        <v>1500</v>
      </c>
      <c r="M9">
        <v>-56901.1</v>
      </c>
      <c r="N9">
        <f>M9/1000</f>
        <v>-56.9011</v>
      </c>
    </row>
    <row r="10" spans="1:14" x14ac:dyDescent="0.35">
      <c r="A10">
        <v>1600</v>
      </c>
      <c r="B10">
        <v>-122935.5</v>
      </c>
      <c r="C10">
        <v>-53173.1</v>
      </c>
      <c r="D10" s="1">
        <v>0</v>
      </c>
      <c r="E10">
        <v>-37.243000000000002</v>
      </c>
      <c r="F10" s="1">
        <v>1.3785000000000001</v>
      </c>
      <c r="G10" s="1">
        <v>30.390999999999998</v>
      </c>
      <c r="L10">
        <v>1600</v>
      </c>
      <c r="M10">
        <v>-53173.1</v>
      </c>
      <c r="N10">
        <f t="shared" ref="N10:N24" si="0">M10/1000</f>
        <v>-53.173099999999998</v>
      </c>
    </row>
    <row r="11" spans="1:14" x14ac:dyDescent="0.35">
      <c r="A11">
        <v>1700</v>
      </c>
      <c r="B11">
        <v>-122792.2</v>
      </c>
      <c r="C11">
        <v>-49452.5</v>
      </c>
      <c r="D11" s="1">
        <v>0</v>
      </c>
      <c r="E11">
        <v>-37.168999999999997</v>
      </c>
      <c r="F11" s="1">
        <v>1.4844999999999999</v>
      </c>
      <c r="G11" s="1">
        <v>20.376000000000001</v>
      </c>
      <c r="I11">
        <v>1800</v>
      </c>
      <c r="J11">
        <v>-45739.4</v>
      </c>
      <c r="L11">
        <v>1700</v>
      </c>
      <c r="M11">
        <v>-49452.5</v>
      </c>
      <c r="N11">
        <f t="shared" si="0"/>
        <v>-49.452500000000001</v>
      </c>
    </row>
    <row r="12" spans="1:14" x14ac:dyDescent="0.35">
      <c r="A12">
        <v>1800</v>
      </c>
      <c r="B12">
        <v>-122639</v>
      </c>
      <c r="C12">
        <v>-45739.4</v>
      </c>
      <c r="D12" s="1">
        <v>0</v>
      </c>
      <c r="E12">
        <v>-37.093000000000004</v>
      </c>
      <c r="F12" s="1">
        <v>1.5772999999999999</v>
      </c>
      <c r="G12" s="1">
        <v>14.204000000000001</v>
      </c>
      <c r="I12">
        <v>1900</v>
      </c>
      <c r="J12">
        <v>-42033.9</v>
      </c>
      <c r="L12">
        <v>1800</v>
      </c>
      <c r="M12">
        <v>-45739.4</v>
      </c>
      <c r="N12">
        <f t="shared" si="0"/>
        <v>-45.739400000000003</v>
      </c>
    </row>
    <row r="13" spans="1:14" x14ac:dyDescent="0.35">
      <c r="A13">
        <v>1900</v>
      </c>
      <c r="B13">
        <v>-122477.2</v>
      </c>
      <c r="C13">
        <v>-42033.9</v>
      </c>
      <c r="D13" s="1">
        <v>0</v>
      </c>
      <c r="E13">
        <v>-37.017000000000003</v>
      </c>
      <c r="F13" s="1">
        <v>1.6580999999999999</v>
      </c>
      <c r="G13" s="1">
        <v>10.24</v>
      </c>
      <c r="I13">
        <v>2000</v>
      </c>
      <c r="J13">
        <v>-38336</v>
      </c>
      <c r="L13">
        <v>1900</v>
      </c>
      <c r="M13">
        <v>-42033.9</v>
      </c>
      <c r="N13">
        <f t="shared" si="0"/>
        <v>-42.033900000000003</v>
      </c>
    </row>
    <row r="14" spans="1:14" x14ac:dyDescent="0.35">
      <c r="A14">
        <v>2000</v>
      </c>
      <c r="B14">
        <v>-122307.8</v>
      </c>
      <c r="C14">
        <v>-38336</v>
      </c>
      <c r="D14" s="1">
        <v>0</v>
      </c>
      <c r="E14">
        <v>-36.941000000000003</v>
      </c>
      <c r="F14" s="1">
        <v>1.7281</v>
      </c>
      <c r="G14" s="1">
        <v>7.6014999999999997</v>
      </c>
      <c r="I14">
        <v>2100</v>
      </c>
      <c r="J14">
        <v>-34645.699999999997</v>
      </c>
      <c r="L14">
        <v>2000</v>
      </c>
      <c r="M14">
        <v>-38336</v>
      </c>
      <c r="N14">
        <f t="shared" si="0"/>
        <v>-38.335999999999999</v>
      </c>
    </row>
    <row r="15" spans="1:14" x14ac:dyDescent="0.35">
      <c r="A15">
        <v>2100</v>
      </c>
      <c r="B15">
        <v>-122131.9</v>
      </c>
      <c r="C15">
        <v>-34645.699999999997</v>
      </c>
      <c r="D15" s="1">
        <v>0</v>
      </c>
      <c r="E15">
        <v>-36.865000000000002</v>
      </c>
      <c r="F15" s="1">
        <v>1.7882</v>
      </c>
      <c r="G15" s="1">
        <v>5.7884000000000002</v>
      </c>
      <c r="I15">
        <v>2200</v>
      </c>
      <c r="J15">
        <v>-30963</v>
      </c>
      <c r="L15">
        <v>2100</v>
      </c>
      <c r="M15">
        <v>-34645.699999999997</v>
      </c>
      <c r="N15">
        <f t="shared" si="0"/>
        <v>-34.645699999999998</v>
      </c>
    </row>
    <row r="16" spans="1:14" x14ac:dyDescent="0.35">
      <c r="A16">
        <v>2200</v>
      </c>
      <c r="B16">
        <v>-121950.39999999999</v>
      </c>
      <c r="C16">
        <v>-30963</v>
      </c>
      <c r="D16" s="1">
        <v>0</v>
      </c>
      <c r="E16">
        <v>-36.79</v>
      </c>
      <c r="F16" s="1">
        <v>1.8392999999999999</v>
      </c>
      <c r="G16" s="1">
        <v>4.5076000000000001</v>
      </c>
      <c r="I16">
        <v>2300</v>
      </c>
      <c r="J16">
        <v>-27287.7</v>
      </c>
      <c r="L16">
        <v>2200</v>
      </c>
      <c r="M16">
        <v>-30963</v>
      </c>
      <c r="N16">
        <f t="shared" si="0"/>
        <v>-30.963000000000001</v>
      </c>
    </row>
    <row r="17" spans="1:14" x14ac:dyDescent="0.35">
      <c r="A17">
        <v>2300</v>
      </c>
      <c r="B17">
        <v>-121764.3</v>
      </c>
      <c r="C17">
        <v>-27287.7</v>
      </c>
      <c r="D17" s="1">
        <v>0</v>
      </c>
      <c r="E17">
        <v>-36.716000000000001</v>
      </c>
      <c r="F17" s="1">
        <v>1.8822000000000001</v>
      </c>
      <c r="G17" s="1">
        <v>3.5802999999999998</v>
      </c>
      <c r="I17">
        <v>2400</v>
      </c>
      <c r="J17">
        <v>-23619.7</v>
      </c>
      <c r="L17">
        <v>2300</v>
      </c>
      <c r="M17">
        <v>-27287.7</v>
      </c>
      <c r="N17">
        <f t="shared" si="0"/>
        <v>-27.287700000000001</v>
      </c>
    </row>
    <row r="18" spans="1:14" x14ac:dyDescent="0.35">
      <c r="A18">
        <v>2400</v>
      </c>
      <c r="B18">
        <v>-121574.2</v>
      </c>
      <c r="C18">
        <v>-23619.7</v>
      </c>
      <c r="D18" s="1">
        <v>0</v>
      </c>
      <c r="E18">
        <v>-36.643999999999998</v>
      </c>
      <c r="F18" s="1">
        <v>1.9177</v>
      </c>
      <c r="G18" s="1">
        <v>2.8942000000000001</v>
      </c>
      <c r="I18">
        <v>2500</v>
      </c>
      <c r="J18">
        <v>-19958.8</v>
      </c>
      <c r="L18">
        <v>2400</v>
      </c>
      <c r="M18">
        <v>-23619.7</v>
      </c>
      <c r="N18">
        <f t="shared" si="0"/>
        <v>-23.619700000000002</v>
      </c>
    </row>
    <row r="19" spans="1:14" x14ac:dyDescent="0.35">
      <c r="A19">
        <v>2500</v>
      </c>
      <c r="B19">
        <v>-121381</v>
      </c>
      <c r="C19">
        <v>-19958.8</v>
      </c>
      <c r="D19" s="1">
        <v>0</v>
      </c>
      <c r="E19">
        <v>-36.573</v>
      </c>
      <c r="F19" s="1">
        <v>1.9462999999999999</v>
      </c>
      <c r="G19" s="1">
        <v>2.3765000000000001</v>
      </c>
      <c r="L19">
        <v>2500</v>
      </c>
      <c r="M19">
        <v>-19958.8</v>
      </c>
      <c r="N19">
        <f t="shared" si="0"/>
        <v>-19.9588</v>
      </c>
    </row>
    <row r="20" spans="1:14" x14ac:dyDescent="0.35">
      <c r="A20">
        <v>2600</v>
      </c>
      <c r="B20">
        <v>-121185.2</v>
      </c>
      <c r="C20">
        <v>-16305</v>
      </c>
      <c r="D20" s="1">
        <v>0</v>
      </c>
      <c r="E20">
        <v>-36.503999999999998</v>
      </c>
      <c r="F20" s="1">
        <v>1.9685999999999999</v>
      </c>
      <c r="G20" s="1">
        <v>1.9789000000000001</v>
      </c>
      <c r="L20">
        <v>2600</v>
      </c>
      <c r="M20">
        <v>-16305</v>
      </c>
      <c r="N20">
        <f t="shared" si="0"/>
        <v>-16.305</v>
      </c>
    </row>
    <row r="21" spans="1:14" x14ac:dyDescent="0.35">
      <c r="A21">
        <v>2700</v>
      </c>
      <c r="B21">
        <v>-120987.5</v>
      </c>
      <c r="C21">
        <v>-12658.1</v>
      </c>
      <c r="D21" s="1">
        <v>0</v>
      </c>
      <c r="E21">
        <v>-36.436</v>
      </c>
      <c r="F21" s="1">
        <v>1.9851000000000001</v>
      </c>
      <c r="G21" s="1">
        <v>1.6687000000000001</v>
      </c>
      <c r="L21">
        <v>2700</v>
      </c>
      <c r="M21">
        <v>-12658.1</v>
      </c>
      <c r="N21">
        <f t="shared" si="0"/>
        <v>-12.658100000000001</v>
      </c>
    </row>
    <row r="22" spans="1:14" x14ac:dyDescent="0.35">
      <c r="A22">
        <v>2800</v>
      </c>
      <c r="B22">
        <v>-120788.4</v>
      </c>
      <c r="C22">
        <v>-9017.7999999999993</v>
      </c>
      <c r="D22" s="1">
        <v>0</v>
      </c>
      <c r="E22">
        <v>-36.369999999999997</v>
      </c>
      <c r="F22" s="1">
        <v>1.9962</v>
      </c>
      <c r="G22" s="1">
        <v>1.4232</v>
      </c>
      <c r="L22">
        <v>2800</v>
      </c>
      <c r="M22">
        <v>-9017.7999999999993</v>
      </c>
      <c r="N22">
        <f t="shared" si="0"/>
        <v>-9.0177999999999994</v>
      </c>
    </row>
    <row r="23" spans="1:14" x14ac:dyDescent="0.35">
      <c r="A23">
        <v>2900</v>
      </c>
      <c r="B23">
        <v>-120588.4</v>
      </c>
      <c r="C23">
        <v>-5384</v>
      </c>
      <c r="D23" s="1">
        <v>0</v>
      </c>
      <c r="E23">
        <v>-36.305999999999997</v>
      </c>
      <c r="F23" s="1">
        <v>2.0023</v>
      </c>
      <c r="G23" s="1">
        <v>1.2263999999999999</v>
      </c>
      <c r="L23">
        <v>2900</v>
      </c>
      <c r="M23">
        <v>-5384</v>
      </c>
      <c r="N23">
        <f t="shared" si="0"/>
        <v>-5.3840000000000003</v>
      </c>
    </row>
    <row r="24" spans="1:14" x14ac:dyDescent="0.35">
      <c r="A24">
        <v>3000</v>
      </c>
      <c r="B24">
        <v>-120388.1</v>
      </c>
      <c r="C24">
        <v>-1756.5</v>
      </c>
      <c r="D24" s="1">
        <v>0</v>
      </c>
      <c r="E24">
        <v>-36.244</v>
      </c>
      <c r="F24" s="1">
        <v>2.0038</v>
      </c>
      <c r="G24" s="1">
        <v>1.0667</v>
      </c>
      <c r="L24">
        <v>3000</v>
      </c>
      <c r="M24">
        <v>-1756.5</v>
      </c>
      <c r="N24">
        <f t="shared" si="0"/>
        <v>-1.7565</v>
      </c>
    </row>
    <row r="25" spans="1:14" x14ac:dyDescent="0.35">
      <c r="A25" t="s">
        <v>84</v>
      </c>
      <c r="B25" t="s">
        <v>85</v>
      </c>
      <c r="C25" t="s">
        <v>85</v>
      </c>
      <c r="D25" t="s">
        <v>15</v>
      </c>
      <c r="E25" t="s">
        <v>16</v>
      </c>
      <c r="F25" t="s">
        <v>16</v>
      </c>
      <c r="G25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50D2-C5AD-4C83-8A09-57BC24ACE007}">
  <dimension ref="A1:M34"/>
  <sheetViews>
    <sheetView workbookViewId="0">
      <selection activeCell="M9" sqref="M9:M29"/>
    </sheetView>
  </sheetViews>
  <sheetFormatPr defaultRowHeight="14.5" x14ac:dyDescent="0.35"/>
  <sheetData>
    <row r="1" spans="1:13" x14ac:dyDescent="0.35">
      <c r="A1" t="s">
        <v>89</v>
      </c>
      <c r="B1" t="s">
        <v>90</v>
      </c>
    </row>
    <row r="2" spans="1:13" x14ac:dyDescent="0.35">
      <c r="A2" t="s">
        <v>3</v>
      </c>
      <c r="B2" t="s">
        <v>76</v>
      </c>
    </row>
    <row r="3" spans="1:13" x14ac:dyDescent="0.35">
      <c r="A3" t="s">
        <v>52</v>
      </c>
      <c r="B3" t="s">
        <v>91</v>
      </c>
    </row>
    <row r="5" spans="1:13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54</v>
      </c>
      <c r="H5" t="s">
        <v>55</v>
      </c>
    </row>
    <row r="6" spans="1:13" x14ac:dyDescent="0.35">
      <c r="A6" t="s">
        <v>92</v>
      </c>
      <c r="B6" t="s">
        <v>14</v>
      </c>
      <c r="C6" t="s">
        <v>85</v>
      </c>
      <c r="D6" t="s">
        <v>15</v>
      </c>
      <c r="E6" t="s">
        <v>16</v>
      </c>
      <c r="F6" t="s">
        <v>16</v>
      </c>
      <c r="G6" t="s">
        <v>38</v>
      </c>
      <c r="H6" t="s">
        <v>56</v>
      </c>
    </row>
    <row r="8" spans="1:13" x14ac:dyDescent="0.35">
      <c r="A8" t="s">
        <v>18</v>
      </c>
      <c r="B8" t="s">
        <v>20</v>
      </c>
      <c r="C8" t="s">
        <v>19</v>
      </c>
      <c r="D8" t="s">
        <v>93</v>
      </c>
      <c r="E8" t="s">
        <v>58</v>
      </c>
      <c r="F8" t="s">
        <v>59</v>
      </c>
    </row>
    <row r="9" spans="1:13" x14ac:dyDescent="0.35">
      <c r="A9">
        <v>1500</v>
      </c>
      <c r="B9">
        <v>15488.9</v>
      </c>
      <c r="C9">
        <v>17385.400000000001</v>
      </c>
      <c r="D9" s="1">
        <v>0</v>
      </c>
      <c r="E9">
        <v>-1.07</v>
      </c>
      <c r="F9" s="1">
        <v>6.8052000000000001</v>
      </c>
      <c r="G9" s="1">
        <v>0.30751000000000001</v>
      </c>
      <c r="J9">
        <v>1500</v>
      </c>
      <c r="K9">
        <v>17385.400000000001</v>
      </c>
      <c r="L9">
        <f>K9/1000</f>
        <v>17.385400000000001</v>
      </c>
      <c r="M9">
        <f>L9/6</f>
        <v>2.8975666666666666</v>
      </c>
    </row>
    <row r="10" spans="1:13" x14ac:dyDescent="0.35">
      <c r="A10">
        <v>1600</v>
      </c>
      <c r="B10">
        <v>16265.6</v>
      </c>
      <c r="C10">
        <v>17471.8</v>
      </c>
      <c r="D10" s="1">
        <v>0</v>
      </c>
      <c r="E10">
        <v>-0.64400000000000002</v>
      </c>
      <c r="F10" s="1">
        <v>8.7422000000000004</v>
      </c>
      <c r="G10" s="1">
        <v>0.32568000000000003</v>
      </c>
      <c r="J10">
        <v>1600</v>
      </c>
      <c r="K10">
        <v>17471.8</v>
      </c>
      <c r="L10">
        <f t="shared" ref="L10:L29" si="0">K10/1000</f>
        <v>17.471799999999998</v>
      </c>
      <c r="M10">
        <f t="shared" ref="M10:M29" si="1">L10/6</f>
        <v>2.9119666666666664</v>
      </c>
    </row>
    <row r="11" spans="1:13" x14ac:dyDescent="0.35">
      <c r="A11">
        <v>1700</v>
      </c>
      <c r="B11">
        <v>17239.599999999999</v>
      </c>
      <c r="C11">
        <v>17511.5</v>
      </c>
      <c r="D11" s="1">
        <v>0</v>
      </c>
      <c r="E11">
        <v>-0.13800000000000001</v>
      </c>
      <c r="F11" s="1">
        <v>10.749000000000001</v>
      </c>
      <c r="G11" s="1">
        <v>0.34389999999999998</v>
      </c>
      <c r="J11">
        <v>1700</v>
      </c>
      <c r="K11">
        <v>17511.5</v>
      </c>
      <c r="L11">
        <f t="shared" si="0"/>
        <v>17.511500000000002</v>
      </c>
      <c r="M11">
        <f t="shared" si="1"/>
        <v>2.9185833333333338</v>
      </c>
    </row>
    <row r="12" spans="1:13" x14ac:dyDescent="0.35">
      <c r="A12">
        <v>1800</v>
      </c>
      <c r="B12">
        <v>18310.5</v>
      </c>
      <c r="C12">
        <v>17498.099999999999</v>
      </c>
      <c r="D12" s="1">
        <v>0</v>
      </c>
      <c r="E12">
        <v>0.39200000000000002</v>
      </c>
      <c r="F12" s="1">
        <v>9.8933</v>
      </c>
      <c r="G12" s="1">
        <v>0.36235000000000001</v>
      </c>
      <c r="H12" t="s">
        <v>55</v>
      </c>
      <c r="J12">
        <v>1800</v>
      </c>
      <c r="K12">
        <v>17498.099999999999</v>
      </c>
      <c r="L12">
        <f t="shared" si="0"/>
        <v>17.498099999999997</v>
      </c>
      <c r="M12">
        <f t="shared" si="1"/>
        <v>2.9163499999999996</v>
      </c>
    </row>
    <row r="13" spans="1:13" x14ac:dyDescent="0.35">
      <c r="A13">
        <v>1900</v>
      </c>
      <c r="B13">
        <v>19205.900000000001</v>
      </c>
      <c r="C13">
        <v>17436.900000000001</v>
      </c>
      <c r="D13" s="1">
        <v>0</v>
      </c>
      <c r="E13">
        <v>0.81399999999999995</v>
      </c>
      <c r="F13" s="1">
        <v>8.0251999999999999</v>
      </c>
      <c r="G13" s="1">
        <v>0.38096999999999998</v>
      </c>
      <c r="H13" t="s">
        <v>55</v>
      </c>
      <c r="J13">
        <v>1900</v>
      </c>
      <c r="K13">
        <v>17436.900000000001</v>
      </c>
      <c r="L13">
        <f t="shared" si="0"/>
        <v>17.436900000000001</v>
      </c>
      <c r="M13">
        <f t="shared" si="1"/>
        <v>2.9061500000000002</v>
      </c>
    </row>
    <row r="14" spans="1:13" x14ac:dyDescent="0.35">
      <c r="A14">
        <v>2000</v>
      </c>
      <c r="B14">
        <v>19917.099999999999</v>
      </c>
      <c r="C14">
        <v>17338.7</v>
      </c>
      <c r="D14" s="1">
        <v>0</v>
      </c>
      <c r="E14">
        <v>1.1339999999999999</v>
      </c>
      <c r="F14" s="1">
        <v>6.2061999999999999</v>
      </c>
      <c r="G14" s="1">
        <v>0.39956000000000003</v>
      </c>
      <c r="H14" t="s">
        <v>55</v>
      </c>
      <c r="J14">
        <v>2000</v>
      </c>
      <c r="K14">
        <v>17338.7</v>
      </c>
      <c r="L14">
        <f t="shared" si="0"/>
        <v>17.338699999999999</v>
      </c>
      <c r="M14">
        <f t="shared" si="1"/>
        <v>2.8897833333333334</v>
      </c>
    </row>
    <row r="15" spans="1:13" x14ac:dyDescent="0.35">
      <c r="A15">
        <v>2074.85</v>
      </c>
      <c r="B15">
        <v>20331.599999999999</v>
      </c>
      <c r="C15">
        <v>17246.7</v>
      </c>
      <c r="D15" s="1">
        <v>0</v>
      </c>
      <c r="E15">
        <v>1.3140000000000001</v>
      </c>
      <c r="F15" s="1">
        <v>4.8704999999999998</v>
      </c>
      <c r="G15" s="1">
        <v>0.41336000000000001</v>
      </c>
      <c r="H15" t="s">
        <v>55</v>
      </c>
      <c r="J15">
        <v>2100</v>
      </c>
      <c r="K15">
        <v>20440.099999999999</v>
      </c>
      <c r="L15">
        <f t="shared" si="0"/>
        <v>20.440099999999997</v>
      </c>
      <c r="M15">
        <f t="shared" si="1"/>
        <v>3.4066833333333331</v>
      </c>
    </row>
    <row r="16" spans="1:13" x14ac:dyDescent="0.35">
      <c r="A16" t="s">
        <v>18</v>
      </c>
      <c r="B16" t="s">
        <v>20</v>
      </c>
      <c r="C16" t="s">
        <v>23</v>
      </c>
      <c r="D16" t="s">
        <v>93</v>
      </c>
      <c r="E16" t="s">
        <v>58</v>
      </c>
      <c r="F16" t="s">
        <v>18</v>
      </c>
      <c r="J16">
        <v>2200</v>
      </c>
      <c r="K16">
        <v>33137.199999999997</v>
      </c>
      <c r="L16">
        <f t="shared" si="0"/>
        <v>33.1372</v>
      </c>
      <c r="M16">
        <f t="shared" si="1"/>
        <v>5.5228666666666664</v>
      </c>
    </row>
    <row r="17" spans="1:13" x14ac:dyDescent="0.35">
      <c r="A17" t="s">
        <v>24</v>
      </c>
      <c r="B17" t="s">
        <v>25</v>
      </c>
      <c r="C17" t="s">
        <v>26</v>
      </c>
      <c r="D17" t="s">
        <v>18</v>
      </c>
      <c r="E17" t="s">
        <v>27</v>
      </c>
      <c r="J17">
        <v>2300</v>
      </c>
      <c r="K17">
        <v>45835.1</v>
      </c>
      <c r="L17">
        <f t="shared" si="0"/>
        <v>45.835099999999997</v>
      </c>
      <c r="M17">
        <f t="shared" si="1"/>
        <v>7.6391833333333325</v>
      </c>
    </row>
    <row r="18" spans="1:13" x14ac:dyDescent="0.35">
      <c r="A18">
        <v>2074.85</v>
      </c>
      <c r="B18">
        <v>-280868.5</v>
      </c>
      <c r="C18">
        <v>17246.7</v>
      </c>
      <c r="D18" s="1">
        <v>0</v>
      </c>
      <c r="E18">
        <v>-126.96599999999999</v>
      </c>
      <c r="F18" s="1">
        <v>-0.14671999999999999</v>
      </c>
      <c r="G18" s="1">
        <v>0.41336000000000001</v>
      </c>
      <c r="H18" t="s">
        <v>55</v>
      </c>
      <c r="J18">
        <v>2400</v>
      </c>
      <c r="K18">
        <v>58534.1</v>
      </c>
      <c r="L18">
        <f t="shared" si="0"/>
        <v>58.534099999999995</v>
      </c>
      <c r="M18">
        <f t="shared" si="1"/>
        <v>9.7556833333333319</v>
      </c>
    </row>
    <row r="19" spans="1:13" x14ac:dyDescent="0.35">
      <c r="A19">
        <v>2100</v>
      </c>
      <c r="B19">
        <v>-280872.3</v>
      </c>
      <c r="C19">
        <v>20440.099999999999</v>
      </c>
      <c r="D19" s="1">
        <v>0</v>
      </c>
      <c r="E19">
        <v>-126.967</v>
      </c>
      <c r="F19" s="1">
        <v>-0.161</v>
      </c>
      <c r="G19" s="1">
        <v>0.35489999999999999</v>
      </c>
      <c r="H19" t="s">
        <v>55</v>
      </c>
      <c r="J19">
        <v>2500</v>
      </c>
      <c r="K19">
        <v>71234.100000000006</v>
      </c>
      <c r="L19">
        <f t="shared" si="0"/>
        <v>71.234100000000012</v>
      </c>
      <c r="M19">
        <f t="shared" si="1"/>
        <v>11.872350000000003</v>
      </c>
    </row>
    <row r="20" spans="1:13" x14ac:dyDescent="0.35">
      <c r="A20">
        <v>2200</v>
      </c>
      <c r="B20">
        <v>-280891.09999999998</v>
      </c>
      <c r="C20">
        <v>33137.199999999997</v>
      </c>
      <c r="D20" s="1">
        <v>0</v>
      </c>
      <c r="E20">
        <v>-126.97499999999999</v>
      </c>
      <c r="F20" s="1">
        <v>-0.21213000000000001</v>
      </c>
      <c r="G20" s="1">
        <v>0.19958999999999999</v>
      </c>
      <c r="H20" t="s">
        <v>55</v>
      </c>
      <c r="J20">
        <v>2600</v>
      </c>
      <c r="K20">
        <v>83935.3</v>
      </c>
      <c r="L20">
        <f t="shared" si="0"/>
        <v>83.935299999999998</v>
      </c>
      <c r="M20">
        <f t="shared" si="1"/>
        <v>13.989216666666666</v>
      </c>
    </row>
    <row r="21" spans="1:13" x14ac:dyDescent="0.35">
      <c r="A21">
        <v>2300</v>
      </c>
      <c r="B21">
        <v>-280914.5</v>
      </c>
      <c r="C21">
        <v>45835.1</v>
      </c>
      <c r="D21" s="1">
        <v>0</v>
      </c>
      <c r="E21">
        <v>-126.98399999999999</v>
      </c>
      <c r="F21" s="1">
        <v>-0.25507999999999997</v>
      </c>
      <c r="G21" s="1">
        <v>0.11738</v>
      </c>
      <c r="H21" t="s">
        <v>55</v>
      </c>
      <c r="J21">
        <v>2700</v>
      </c>
      <c r="K21">
        <v>96637.6</v>
      </c>
      <c r="L21">
        <f t="shared" si="0"/>
        <v>96.637600000000006</v>
      </c>
      <c r="M21">
        <f t="shared" si="1"/>
        <v>16.106266666666667</v>
      </c>
    </row>
    <row r="22" spans="1:13" x14ac:dyDescent="0.35">
      <c r="A22">
        <v>2400</v>
      </c>
      <c r="B22">
        <v>-280941.8</v>
      </c>
      <c r="C22">
        <v>58534.1</v>
      </c>
      <c r="D22" s="1">
        <v>0</v>
      </c>
      <c r="E22">
        <v>-126.995</v>
      </c>
      <c r="F22" s="1">
        <v>-0.29054000000000002</v>
      </c>
      <c r="G22" s="1">
        <v>7.1819999999999995E-2</v>
      </c>
      <c r="H22" t="s">
        <v>55</v>
      </c>
      <c r="J22">
        <v>2800</v>
      </c>
      <c r="K22">
        <v>109341.2</v>
      </c>
      <c r="L22">
        <f t="shared" si="0"/>
        <v>109.3412</v>
      </c>
      <c r="M22">
        <f t="shared" si="1"/>
        <v>18.223533333333332</v>
      </c>
    </row>
    <row r="23" spans="1:13" x14ac:dyDescent="0.35">
      <c r="A23">
        <v>2500</v>
      </c>
      <c r="B23">
        <v>-280972.40000000002</v>
      </c>
      <c r="C23">
        <v>71234.100000000006</v>
      </c>
      <c r="D23" s="1">
        <v>0</v>
      </c>
      <c r="E23">
        <v>-127.006</v>
      </c>
      <c r="F23" s="1">
        <v>-0.31913999999999998</v>
      </c>
      <c r="G23" s="1">
        <v>4.5527999999999999E-2</v>
      </c>
      <c r="H23" t="s">
        <v>55</v>
      </c>
      <c r="J23">
        <v>2900</v>
      </c>
      <c r="K23">
        <v>122045.9</v>
      </c>
      <c r="L23">
        <f t="shared" si="0"/>
        <v>122.04589999999999</v>
      </c>
      <c r="M23">
        <f t="shared" si="1"/>
        <v>20.34098333333333</v>
      </c>
    </row>
    <row r="24" spans="1:13" x14ac:dyDescent="0.35">
      <c r="A24">
        <v>2600</v>
      </c>
      <c r="B24">
        <v>-281005.40000000002</v>
      </c>
      <c r="C24">
        <v>83935.3</v>
      </c>
      <c r="D24" s="1">
        <v>0</v>
      </c>
      <c r="E24">
        <v>-127.018</v>
      </c>
      <c r="F24" s="1">
        <v>-0.34143000000000001</v>
      </c>
      <c r="G24" s="1">
        <v>2.9790000000000001E-2</v>
      </c>
      <c r="H24" t="s">
        <v>55</v>
      </c>
      <c r="J24">
        <v>3000</v>
      </c>
      <c r="K24">
        <v>134751.9</v>
      </c>
      <c r="L24">
        <f t="shared" si="0"/>
        <v>134.75190000000001</v>
      </c>
      <c r="M24">
        <f t="shared" si="1"/>
        <v>22.458650000000002</v>
      </c>
    </row>
    <row r="25" spans="1:13" x14ac:dyDescent="0.35">
      <c r="A25">
        <v>2700</v>
      </c>
      <c r="B25">
        <v>-281040.5</v>
      </c>
      <c r="C25">
        <v>96637.6</v>
      </c>
      <c r="D25" s="1">
        <v>0</v>
      </c>
      <c r="E25">
        <v>-127.03</v>
      </c>
      <c r="F25" s="1">
        <v>-0.3579</v>
      </c>
      <c r="G25" s="1">
        <v>2.0056000000000001E-2</v>
      </c>
      <c r="H25" t="s">
        <v>55</v>
      </c>
      <c r="J25">
        <v>3100</v>
      </c>
      <c r="K25">
        <v>147459</v>
      </c>
      <c r="L25">
        <f t="shared" si="0"/>
        <v>147.459</v>
      </c>
      <c r="M25">
        <f t="shared" si="1"/>
        <v>24.576499999999999</v>
      </c>
    </row>
    <row r="26" spans="1:13" x14ac:dyDescent="0.35">
      <c r="A26">
        <v>2800</v>
      </c>
      <c r="B26">
        <v>-281076.8</v>
      </c>
      <c r="C26">
        <v>109341.2</v>
      </c>
      <c r="D26" s="1">
        <v>0</v>
      </c>
      <c r="E26">
        <v>-127.042</v>
      </c>
      <c r="F26" s="1">
        <v>-0.36899999999999999</v>
      </c>
      <c r="G26" s="1">
        <v>1.3854E-2</v>
      </c>
      <c r="H26" t="s">
        <v>55</v>
      </c>
      <c r="J26">
        <v>3200</v>
      </c>
      <c r="K26">
        <v>160167.20000000001</v>
      </c>
      <c r="L26">
        <f t="shared" si="0"/>
        <v>160.16720000000001</v>
      </c>
      <c r="M26">
        <f t="shared" si="1"/>
        <v>26.694533333333336</v>
      </c>
    </row>
    <row r="27" spans="1:13" x14ac:dyDescent="0.35">
      <c r="A27">
        <v>2900</v>
      </c>
      <c r="B27">
        <v>-281114.09999999998</v>
      </c>
      <c r="C27">
        <v>122045.9</v>
      </c>
      <c r="D27" s="1">
        <v>0</v>
      </c>
      <c r="E27">
        <v>-127.054</v>
      </c>
      <c r="F27" s="1">
        <v>-0.37513000000000002</v>
      </c>
      <c r="G27" s="1">
        <v>9.7949000000000005E-3</v>
      </c>
      <c r="H27" t="s">
        <v>55</v>
      </c>
      <c r="J27">
        <v>3300</v>
      </c>
      <c r="K27">
        <v>172876.4</v>
      </c>
      <c r="L27">
        <f t="shared" si="0"/>
        <v>172.87639999999999</v>
      </c>
      <c r="M27">
        <f t="shared" si="1"/>
        <v>28.81273333333333</v>
      </c>
    </row>
    <row r="28" spans="1:13" x14ac:dyDescent="0.35">
      <c r="A28">
        <v>3000</v>
      </c>
      <c r="B28">
        <v>-281151.7</v>
      </c>
      <c r="C28">
        <v>134751.9</v>
      </c>
      <c r="D28" s="1">
        <v>0</v>
      </c>
      <c r="E28">
        <v>-127.065</v>
      </c>
      <c r="F28" s="1">
        <v>-0.37664999999999998</v>
      </c>
      <c r="G28" s="1">
        <v>7.0732E-3</v>
      </c>
      <c r="H28" t="s">
        <v>55</v>
      </c>
      <c r="J28">
        <v>3400</v>
      </c>
      <c r="K28">
        <v>185586.7</v>
      </c>
      <c r="L28">
        <f t="shared" si="0"/>
        <v>185.58670000000001</v>
      </c>
      <c r="M28">
        <f t="shared" si="1"/>
        <v>30.931116666666668</v>
      </c>
    </row>
    <row r="29" spans="1:13" x14ac:dyDescent="0.35">
      <c r="A29">
        <v>3100</v>
      </c>
      <c r="B29">
        <v>-281189.3</v>
      </c>
      <c r="C29">
        <v>147459</v>
      </c>
      <c r="D29" s="1">
        <v>0</v>
      </c>
      <c r="E29">
        <v>-127.077</v>
      </c>
      <c r="F29" s="1">
        <v>-0.37387999999999999</v>
      </c>
      <c r="G29" s="1">
        <v>5.2071000000000001E-3</v>
      </c>
      <c r="H29" t="s">
        <v>55</v>
      </c>
      <c r="J29">
        <v>3500</v>
      </c>
      <c r="K29">
        <v>198297.9</v>
      </c>
      <c r="L29">
        <f t="shared" si="0"/>
        <v>198.2979</v>
      </c>
      <c r="M29">
        <f t="shared" si="1"/>
        <v>33.04965</v>
      </c>
    </row>
    <row r="30" spans="1:13" x14ac:dyDescent="0.35">
      <c r="A30">
        <v>3200</v>
      </c>
      <c r="B30">
        <v>-281226.40000000002</v>
      </c>
      <c r="C30">
        <v>160167.20000000001</v>
      </c>
      <c r="D30" s="1">
        <v>0</v>
      </c>
      <c r="E30">
        <v>-127.087</v>
      </c>
      <c r="F30" s="1">
        <v>-0.36712</v>
      </c>
      <c r="G30" s="1">
        <v>3.9014000000000002E-3</v>
      </c>
      <c r="H30" t="s">
        <v>55</v>
      </c>
    </row>
    <row r="31" spans="1:13" x14ac:dyDescent="0.35">
      <c r="A31">
        <v>3300</v>
      </c>
      <c r="B31">
        <v>-281262.59999999998</v>
      </c>
      <c r="C31">
        <v>172876.4</v>
      </c>
      <c r="D31" s="1">
        <v>0</v>
      </c>
      <c r="E31">
        <v>-127.098</v>
      </c>
      <c r="F31" s="1">
        <v>-0.35664000000000001</v>
      </c>
      <c r="G31" s="1">
        <v>2.9705999999999999E-3</v>
      </c>
      <c r="H31" t="s">
        <v>55</v>
      </c>
    </row>
    <row r="32" spans="1:13" x14ac:dyDescent="0.35">
      <c r="A32">
        <v>3400</v>
      </c>
      <c r="B32">
        <v>-281297.59999999998</v>
      </c>
      <c r="C32">
        <v>185586.7</v>
      </c>
      <c r="D32" s="1">
        <v>0</v>
      </c>
      <c r="E32">
        <v>-127.107</v>
      </c>
      <c r="F32" s="1">
        <v>-0.34267999999999998</v>
      </c>
      <c r="G32" s="1">
        <v>2.2956000000000001E-3</v>
      </c>
      <c r="H32" t="s">
        <v>55</v>
      </c>
    </row>
    <row r="33" spans="1:8" x14ac:dyDescent="0.35">
      <c r="A33">
        <v>3500</v>
      </c>
      <c r="B33">
        <v>-281331</v>
      </c>
      <c r="C33">
        <v>198297.9</v>
      </c>
      <c r="D33" s="1">
        <v>0</v>
      </c>
      <c r="E33">
        <v>-127.116</v>
      </c>
      <c r="F33" s="1">
        <v>-0.32546999999999998</v>
      </c>
      <c r="G33" s="1">
        <v>1.7983999999999999E-3</v>
      </c>
      <c r="H33" t="s">
        <v>55</v>
      </c>
    </row>
    <row r="34" spans="1:8" x14ac:dyDescent="0.35">
      <c r="A34" t="s">
        <v>92</v>
      </c>
      <c r="B34" t="s">
        <v>14</v>
      </c>
      <c r="C34" t="s">
        <v>85</v>
      </c>
      <c r="D34" t="s">
        <v>15</v>
      </c>
      <c r="E34" t="s">
        <v>16</v>
      </c>
      <c r="F34" t="s">
        <v>16</v>
      </c>
      <c r="G34" t="s">
        <v>38</v>
      </c>
      <c r="H34" t="s">
        <v>56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88FF-8EAD-4D70-8343-4E0D57F4A8BA}">
  <dimension ref="A1:M33"/>
  <sheetViews>
    <sheetView workbookViewId="0">
      <selection activeCell="M18" sqref="M18"/>
    </sheetView>
  </sheetViews>
  <sheetFormatPr defaultRowHeight="14.5" x14ac:dyDescent="0.35"/>
  <sheetData>
    <row r="1" spans="1:13" x14ac:dyDescent="0.35">
      <c r="A1" t="s">
        <v>94</v>
      </c>
      <c r="B1" t="e" cm="1">
        <f t="array" ref="B1" xml:space="preserve"> Fe3C</f>
        <v>#NAME?</v>
      </c>
    </row>
    <row r="2" spans="1:13" x14ac:dyDescent="0.35">
      <c r="A2" t="s">
        <v>35</v>
      </c>
      <c r="B2" t="s">
        <v>64</v>
      </c>
    </row>
    <row r="3" spans="1:13" x14ac:dyDescent="0.35">
      <c r="A3" t="s">
        <v>36</v>
      </c>
      <c r="B3" t="s">
        <v>95</v>
      </c>
    </row>
    <row r="5" spans="1:13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13" x14ac:dyDescent="0.35">
      <c r="A6" t="s">
        <v>38</v>
      </c>
      <c r="B6" t="s">
        <v>14</v>
      </c>
      <c r="C6" t="s">
        <v>85</v>
      </c>
      <c r="D6" t="s">
        <v>15</v>
      </c>
      <c r="E6" t="s">
        <v>16</v>
      </c>
      <c r="F6" t="s">
        <v>16</v>
      </c>
      <c r="G6" t="s">
        <v>17</v>
      </c>
    </row>
    <row r="8" spans="1:13" x14ac:dyDescent="0.35">
      <c r="A8" t="s">
        <v>18</v>
      </c>
      <c r="B8" t="s">
        <v>39</v>
      </c>
      <c r="C8" t="s">
        <v>58</v>
      </c>
      <c r="D8" t="s">
        <v>40</v>
      </c>
      <c r="E8" t="s">
        <v>18</v>
      </c>
    </row>
    <row r="9" spans="1:13" x14ac:dyDescent="0.35">
      <c r="A9">
        <v>1500</v>
      </c>
      <c r="B9">
        <v>1904.9</v>
      </c>
      <c r="C9">
        <v>-7128.2</v>
      </c>
      <c r="D9" s="1">
        <v>0</v>
      </c>
      <c r="E9">
        <v>5.0940000000000003</v>
      </c>
      <c r="F9" s="1">
        <v>-27.173999999999999</v>
      </c>
      <c r="G9" s="1">
        <v>1.6216999999999999</v>
      </c>
    </row>
    <row r="10" spans="1:13" x14ac:dyDescent="0.35">
      <c r="A10">
        <v>1537.8</v>
      </c>
      <c r="B10">
        <v>859.4</v>
      </c>
      <c r="C10">
        <v>-7309.8</v>
      </c>
      <c r="D10" s="1">
        <v>0</v>
      </c>
      <c r="E10">
        <v>4.5110000000000001</v>
      </c>
      <c r="F10" s="1">
        <v>-28.14</v>
      </c>
      <c r="G10" s="1">
        <v>1.6249</v>
      </c>
    </row>
    <row r="11" spans="1:13" x14ac:dyDescent="0.35">
      <c r="A11" t="s">
        <v>18</v>
      </c>
      <c r="B11" t="s">
        <v>42</v>
      </c>
      <c r="C11" t="s">
        <v>58</v>
      </c>
      <c r="D11" t="s">
        <v>40</v>
      </c>
      <c r="E11" t="s">
        <v>18</v>
      </c>
      <c r="J11">
        <v>1500</v>
      </c>
      <c r="K11">
        <v>-7128.2</v>
      </c>
      <c r="L11">
        <f>K11/1000</f>
        <v>-7.1281999999999996</v>
      </c>
      <c r="M11">
        <f>L11/3</f>
        <v>-2.3760666666666665</v>
      </c>
    </row>
    <row r="12" spans="1:13" x14ac:dyDescent="0.35">
      <c r="A12" t="s">
        <v>44</v>
      </c>
      <c r="B12" t="s">
        <v>45</v>
      </c>
      <c r="C12" t="s">
        <v>26</v>
      </c>
      <c r="D12" t="s">
        <v>18</v>
      </c>
      <c r="E12" t="s">
        <v>46</v>
      </c>
      <c r="J12">
        <v>1537.8</v>
      </c>
      <c r="K12">
        <v>-7309.8</v>
      </c>
      <c r="L12">
        <f t="shared" ref="L12:L30" si="0">K12/1000</f>
        <v>-7.3098000000000001</v>
      </c>
      <c r="M12">
        <f t="shared" ref="M12:M30" si="1">L12/3</f>
        <v>-2.4365999999999999</v>
      </c>
    </row>
    <row r="13" spans="1:13" x14ac:dyDescent="0.35">
      <c r="A13">
        <v>1537.8</v>
      </c>
      <c r="B13">
        <v>-40561.300000000003</v>
      </c>
      <c r="C13">
        <v>-7309.8</v>
      </c>
      <c r="D13" s="1">
        <v>0</v>
      </c>
      <c r="E13">
        <v>-18.361000000000001</v>
      </c>
      <c r="F13" s="1">
        <v>-42.098999999999997</v>
      </c>
      <c r="G13" s="1">
        <v>1.6249</v>
      </c>
      <c r="J13">
        <v>1537.8</v>
      </c>
      <c r="K13">
        <v>-7309.8</v>
      </c>
      <c r="L13">
        <f t="shared" si="0"/>
        <v>-7.3098000000000001</v>
      </c>
      <c r="M13">
        <f t="shared" si="1"/>
        <v>-2.4365999999999999</v>
      </c>
    </row>
    <row r="14" spans="1:13" x14ac:dyDescent="0.35">
      <c r="A14">
        <v>1600</v>
      </c>
      <c r="B14">
        <v>-43184</v>
      </c>
      <c r="C14">
        <v>-6123.3</v>
      </c>
      <c r="D14" s="1">
        <v>0</v>
      </c>
      <c r="E14">
        <v>-19.785</v>
      </c>
      <c r="F14" s="1">
        <v>-42.234999999999999</v>
      </c>
      <c r="G14" s="1">
        <v>1.4817</v>
      </c>
      <c r="J14">
        <v>1600</v>
      </c>
      <c r="K14">
        <v>-6123.3</v>
      </c>
      <c r="L14">
        <f t="shared" si="0"/>
        <v>-6.1233000000000004</v>
      </c>
      <c r="M14">
        <f t="shared" si="1"/>
        <v>-2.0411000000000001</v>
      </c>
    </row>
    <row r="15" spans="1:13" x14ac:dyDescent="0.35">
      <c r="A15">
        <v>1700</v>
      </c>
      <c r="B15">
        <v>-47417.7</v>
      </c>
      <c r="C15">
        <v>-4033.9</v>
      </c>
      <c r="D15" s="1">
        <v>0</v>
      </c>
      <c r="E15">
        <v>-21.986999999999998</v>
      </c>
      <c r="F15" s="1">
        <v>-42.436</v>
      </c>
      <c r="G15" s="1">
        <v>1.2786999999999999</v>
      </c>
      <c r="J15">
        <v>1700</v>
      </c>
      <c r="K15">
        <v>-4033.9</v>
      </c>
      <c r="L15">
        <f t="shared" si="0"/>
        <v>-4.0339</v>
      </c>
      <c r="M15">
        <f t="shared" si="1"/>
        <v>-1.3446333333333333</v>
      </c>
    </row>
    <row r="16" spans="1:13" x14ac:dyDescent="0.35">
      <c r="A16">
        <v>1800</v>
      </c>
      <c r="B16">
        <v>-51670.7</v>
      </c>
      <c r="C16">
        <v>-1729.2</v>
      </c>
      <c r="D16" s="1">
        <v>0</v>
      </c>
      <c r="E16">
        <v>-24.09</v>
      </c>
      <c r="F16" s="1">
        <v>-42.622999999999998</v>
      </c>
      <c r="G16" s="1">
        <v>1.1054999999999999</v>
      </c>
      <c r="J16">
        <v>1800</v>
      </c>
      <c r="K16">
        <v>-1729.2</v>
      </c>
      <c r="L16">
        <f t="shared" si="0"/>
        <v>-1.7292000000000001</v>
      </c>
      <c r="M16">
        <f t="shared" si="1"/>
        <v>-0.57640000000000002</v>
      </c>
    </row>
    <row r="17" spans="1:13" x14ac:dyDescent="0.35">
      <c r="A17">
        <v>1900</v>
      </c>
      <c r="B17">
        <v>-55941.9</v>
      </c>
      <c r="C17">
        <v>781.1</v>
      </c>
      <c r="D17" s="1">
        <v>0</v>
      </c>
      <c r="E17">
        <v>-26.102</v>
      </c>
      <c r="F17" s="1">
        <v>-42.8</v>
      </c>
      <c r="G17" s="1">
        <v>0.95769000000000004</v>
      </c>
      <c r="J17">
        <v>1900</v>
      </c>
      <c r="K17">
        <v>781.1</v>
      </c>
      <c r="L17">
        <f t="shared" si="0"/>
        <v>0.78110000000000002</v>
      </c>
      <c r="M17">
        <f t="shared" si="1"/>
        <v>0.26036666666666669</v>
      </c>
    </row>
    <row r="18" spans="1:13" x14ac:dyDescent="0.35">
      <c r="A18">
        <v>2000</v>
      </c>
      <c r="B18">
        <v>-60230.3</v>
      </c>
      <c r="C18">
        <v>3488.4</v>
      </c>
      <c r="D18" s="1">
        <v>0</v>
      </c>
      <c r="E18">
        <v>-28.030999999999999</v>
      </c>
      <c r="F18" s="1">
        <v>-42.966999999999999</v>
      </c>
      <c r="G18" s="1">
        <v>0.83145999999999998</v>
      </c>
      <c r="J18">
        <v>2000</v>
      </c>
      <c r="K18">
        <v>3488.4</v>
      </c>
      <c r="L18">
        <f t="shared" si="0"/>
        <v>3.4883999999999999</v>
      </c>
      <c r="M18">
        <f t="shared" si="1"/>
        <v>1.1628000000000001</v>
      </c>
    </row>
    <row r="19" spans="1:13" x14ac:dyDescent="0.35">
      <c r="A19">
        <v>2100</v>
      </c>
      <c r="B19">
        <v>-64535</v>
      </c>
      <c r="C19">
        <v>6384.7</v>
      </c>
      <c r="D19" s="1">
        <v>0</v>
      </c>
      <c r="E19">
        <v>-29.884</v>
      </c>
      <c r="F19" s="1">
        <v>-43.125999999999998</v>
      </c>
      <c r="G19" s="1">
        <v>0.72355000000000003</v>
      </c>
      <c r="J19">
        <v>2100</v>
      </c>
      <c r="K19">
        <v>6384.7</v>
      </c>
      <c r="L19">
        <f t="shared" si="0"/>
        <v>6.3846999999999996</v>
      </c>
      <c r="M19">
        <f t="shared" si="1"/>
        <v>2.1282333333333332</v>
      </c>
    </row>
    <row r="20" spans="1:13" x14ac:dyDescent="0.35">
      <c r="A20">
        <v>2200</v>
      </c>
      <c r="B20">
        <v>-68855.399999999994</v>
      </c>
      <c r="C20">
        <v>9462.9</v>
      </c>
      <c r="D20" s="1">
        <v>0</v>
      </c>
      <c r="E20">
        <v>-31.667000000000002</v>
      </c>
      <c r="F20" s="1">
        <v>-43.28</v>
      </c>
      <c r="G20" s="1">
        <v>0.63116000000000005</v>
      </c>
      <c r="J20">
        <v>2200</v>
      </c>
      <c r="K20">
        <v>9462.9</v>
      </c>
      <c r="L20">
        <f t="shared" si="0"/>
        <v>9.4628999999999994</v>
      </c>
      <c r="M20">
        <f t="shared" si="1"/>
        <v>3.1542999999999997</v>
      </c>
    </row>
    <row r="21" spans="1:13" x14ac:dyDescent="0.35">
      <c r="A21">
        <v>2300</v>
      </c>
      <c r="B21">
        <v>-73190.7</v>
      </c>
      <c r="C21">
        <v>12716</v>
      </c>
      <c r="D21" s="1">
        <v>0</v>
      </c>
      <c r="E21">
        <v>-33.386000000000003</v>
      </c>
      <c r="F21" s="1">
        <v>-43.427</v>
      </c>
      <c r="G21" s="1">
        <v>0.55191999999999997</v>
      </c>
      <c r="J21">
        <v>2300</v>
      </c>
      <c r="K21">
        <v>12716</v>
      </c>
      <c r="L21">
        <f t="shared" si="0"/>
        <v>12.715999999999999</v>
      </c>
      <c r="M21">
        <f t="shared" si="1"/>
        <v>4.2386666666666661</v>
      </c>
    </row>
    <row r="22" spans="1:13" x14ac:dyDescent="0.35">
      <c r="A22">
        <v>2400</v>
      </c>
      <c r="B22">
        <v>-77540.600000000006</v>
      </c>
      <c r="C22">
        <v>16138</v>
      </c>
      <c r="D22" s="1">
        <v>0</v>
      </c>
      <c r="E22">
        <v>-35.043999999999997</v>
      </c>
      <c r="F22" s="1">
        <v>-43.57</v>
      </c>
      <c r="G22" s="1">
        <v>0.48380000000000001</v>
      </c>
      <c r="J22">
        <v>2400</v>
      </c>
      <c r="K22">
        <v>16138</v>
      </c>
      <c r="L22">
        <f t="shared" si="0"/>
        <v>16.138000000000002</v>
      </c>
      <c r="M22">
        <f t="shared" si="1"/>
        <v>5.3793333333333342</v>
      </c>
    </row>
    <row r="23" spans="1:13" x14ac:dyDescent="0.35">
      <c r="A23">
        <v>2500</v>
      </c>
      <c r="B23">
        <v>-81904.5</v>
      </c>
      <c r="C23">
        <v>19723.099999999999</v>
      </c>
      <c r="D23" s="1">
        <v>0</v>
      </c>
      <c r="E23">
        <v>-36.646999999999998</v>
      </c>
      <c r="F23" s="1">
        <v>-43.707999999999998</v>
      </c>
      <c r="G23" s="1">
        <v>0.42512</v>
      </c>
      <c r="J23">
        <v>2500</v>
      </c>
      <c r="K23">
        <v>19723.099999999999</v>
      </c>
      <c r="L23">
        <f t="shared" si="0"/>
        <v>19.723099999999999</v>
      </c>
      <c r="M23">
        <f t="shared" si="1"/>
        <v>6.5743666666666662</v>
      </c>
    </row>
    <row r="24" spans="1:13" x14ac:dyDescent="0.35">
      <c r="A24">
        <v>2600</v>
      </c>
      <c r="B24">
        <v>-86282.1</v>
      </c>
      <c r="C24">
        <v>23465.7</v>
      </c>
      <c r="D24" s="1">
        <v>0</v>
      </c>
      <c r="E24">
        <v>-38.198</v>
      </c>
      <c r="F24" s="1">
        <v>-43.843000000000004</v>
      </c>
      <c r="G24" s="1">
        <v>0.37445000000000001</v>
      </c>
      <c r="J24">
        <v>2600</v>
      </c>
      <c r="K24">
        <v>23465.7</v>
      </c>
      <c r="L24">
        <f t="shared" si="0"/>
        <v>23.465700000000002</v>
      </c>
      <c r="M24">
        <f t="shared" si="1"/>
        <v>7.8219000000000003</v>
      </c>
    </row>
    <row r="25" spans="1:13" x14ac:dyDescent="0.35">
      <c r="A25">
        <v>2700</v>
      </c>
      <c r="B25">
        <v>-90673</v>
      </c>
      <c r="C25">
        <v>27361</v>
      </c>
      <c r="D25" s="1">
        <v>0</v>
      </c>
      <c r="E25">
        <v>-39.700000000000003</v>
      </c>
      <c r="F25" s="1">
        <v>-43.973999999999997</v>
      </c>
      <c r="G25" s="1">
        <v>0.33061000000000001</v>
      </c>
      <c r="J25">
        <v>2700</v>
      </c>
      <c r="K25">
        <v>27361</v>
      </c>
      <c r="L25">
        <f t="shared" si="0"/>
        <v>27.361000000000001</v>
      </c>
      <c r="M25">
        <f t="shared" si="1"/>
        <v>9.120333333333333</v>
      </c>
    </row>
    <row r="26" spans="1:13" x14ac:dyDescent="0.35">
      <c r="A26">
        <v>2800</v>
      </c>
      <c r="B26">
        <v>-95076.9</v>
      </c>
      <c r="C26">
        <v>31404.2</v>
      </c>
      <c r="D26" s="1">
        <v>0</v>
      </c>
      <c r="E26">
        <v>-41.156999999999996</v>
      </c>
      <c r="F26" s="1">
        <v>-44.103000000000002</v>
      </c>
      <c r="G26" s="1">
        <v>0.29257</v>
      </c>
      <c r="J26">
        <v>2800</v>
      </c>
      <c r="K26">
        <v>31404.2</v>
      </c>
      <c r="L26">
        <f t="shared" si="0"/>
        <v>31.404199999999999</v>
      </c>
      <c r="M26">
        <f t="shared" si="1"/>
        <v>10.468066666666667</v>
      </c>
    </row>
    <row r="27" spans="1:13" x14ac:dyDescent="0.35">
      <c r="A27">
        <v>2861.85</v>
      </c>
      <c r="B27">
        <v>-97807.1</v>
      </c>
      <c r="C27">
        <v>33977</v>
      </c>
      <c r="D27" s="1">
        <v>0</v>
      </c>
      <c r="E27">
        <v>-42.036000000000001</v>
      </c>
      <c r="F27" s="1">
        <v>-44.180999999999997</v>
      </c>
      <c r="G27" s="1">
        <v>0.27157999999999999</v>
      </c>
      <c r="J27">
        <v>2861.85</v>
      </c>
      <c r="K27">
        <v>33977</v>
      </c>
      <c r="L27">
        <f t="shared" si="0"/>
        <v>33.976999999999997</v>
      </c>
      <c r="M27">
        <f t="shared" si="1"/>
        <v>11.325666666666665</v>
      </c>
    </row>
    <row r="28" spans="1:13" x14ac:dyDescent="0.35">
      <c r="A28" t="s">
        <v>18</v>
      </c>
      <c r="B28" t="s">
        <v>47</v>
      </c>
      <c r="C28" t="s">
        <v>58</v>
      </c>
      <c r="D28" t="s">
        <v>40</v>
      </c>
      <c r="E28" t="s">
        <v>18</v>
      </c>
      <c r="J28">
        <v>2861.85</v>
      </c>
      <c r="K28">
        <v>33977</v>
      </c>
      <c r="L28">
        <f t="shared" si="0"/>
        <v>33.976999999999997</v>
      </c>
      <c r="M28">
        <f t="shared" si="1"/>
        <v>11.325666666666665</v>
      </c>
    </row>
    <row r="29" spans="1:13" x14ac:dyDescent="0.35">
      <c r="A29" t="s">
        <v>44</v>
      </c>
      <c r="B29" t="s">
        <v>48</v>
      </c>
      <c r="C29" t="s">
        <v>26</v>
      </c>
      <c r="D29" t="s">
        <v>18</v>
      </c>
      <c r="E29" t="s">
        <v>49</v>
      </c>
      <c r="J29">
        <v>2900</v>
      </c>
      <c r="K29">
        <v>48339.7</v>
      </c>
      <c r="L29">
        <f t="shared" si="0"/>
        <v>48.339700000000001</v>
      </c>
      <c r="M29">
        <f t="shared" si="1"/>
        <v>16.113233333333334</v>
      </c>
    </row>
    <row r="30" spans="1:13" x14ac:dyDescent="0.35">
      <c r="A30">
        <v>2861.85</v>
      </c>
      <c r="B30">
        <v>-1146526.1000000001</v>
      </c>
      <c r="C30">
        <v>33977</v>
      </c>
      <c r="D30" s="1">
        <v>-771.75</v>
      </c>
      <c r="E30">
        <v>-376.55599999999998</v>
      </c>
      <c r="F30" s="1">
        <v>12.632</v>
      </c>
      <c r="G30" s="1">
        <v>0.27157999999999999</v>
      </c>
      <c r="J30">
        <v>3000</v>
      </c>
      <c r="K30">
        <v>85960.5</v>
      </c>
      <c r="L30">
        <f t="shared" si="0"/>
        <v>85.960499999999996</v>
      </c>
      <c r="M30">
        <f t="shared" si="1"/>
        <v>28.653499999999998</v>
      </c>
    </row>
    <row r="31" spans="1:13" x14ac:dyDescent="0.35">
      <c r="A31">
        <v>2900</v>
      </c>
      <c r="B31">
        <v>-1146045.1000000001</v>
      </c>
      <c r="C31">
        <v>48339.7</v>
      </c>
      <c r="D31" s="1">
        <v>-781.15</v>
      </c>
      <c r="E31">
        <v>-376.404</v>
      </c>
      <c r="F31" s="1">
        <v>12.584</v>
      </c>
      <c r="G31" s="1">
        <v>0.16006000000000001</v>
      </c>
    </row>
    <row r="32" spans="1:13" x14ac:dyDescent="0.35">
      <c r="A32">
        <v>3000</v>
      </c>
      <c r="B32">
        <v>-1144792.8999999999</v>
      </c>
      <c r="C32">
        <v>85960.5</v>
      </c>
      <c r="D32" s="1">
        <v>-805.76</v>
      </c>
      <c r="E32">
        <v>-376.01499999999999</v>
      </c>
      <c r="F32" s="1">
        <v>12.46</v>
      </c>
      <c r="G32" s="1">
        <v>4.2485000000000002E-2</v>
      </c>
    </row>
    <row r="33" spans="1:7" x14ac:dyDescent="0.35">
      <c r="A33" t="s">
        <v>38</v>
      </c>
      <c r="B33" t="s">
        <v>14</v>
      </c>
      <c r="C33" t="s">
        <v>85</v>
      </c>
      <c r="D33" t="s">
        <v>15</v>
      </c>
      <c r="E33" t="s">
        <v>16</v>
      </c>
      <c r="F33" t="s">
        <v>16</v>
      </c>
      <c r="G33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A41D-7BA1-4EB3-9DBC-C40BB5E4B9FA}">
  <dimension ref="A2:Y19"/>
  <sheetViews>
    <sheetView zoomScale="250" zoomScaleNormal="250" workbookViewId="0">
      <selection activeCell="C7" sqref="C7"/>
    </sheetView>
  </sheetViews>
  <sheetFormatPr defaultRowHeight="14.5" x14ac:dyDescent="0.35"/>
  <sheetData>
    <row r="2" spans="1:25" x14ac:dyDescent="0.35">
      <c r="A2">
        <v>1500</v>
      </c>
      <c r="B2">
        <v>1177</v>
      </c>
      <c r="C2">
        <v>1537.8</v>
      </c>
      <c r="D2">
        <v>48181.1</v>
      </c>
      <c r="E2">
        <v>1537.8</v>
      </c>
      <c r="F2">
        <v>-13680.8</v>
      </c>
      <c r="G2">
        <v>1667.85</v>
      </c>
      <c r="H2">
        <v>-407540.1</v>
      </c>
      <c r="I2">
        <v>1500</v>
      </c>
      <c r="J2">
        <v>-101320.3</v>
      </c>
      <c r="K2">
        <v>1500</v>
      </c>
      <c r="L2">
        <v>17385.400000000001</v>
      </c>
      <c r="N2">
        <v>1800</v>
      </c>
      <c r="O2">
        <v>-7524.2</v>
      </c>
      <c r="P2">
        <v>1800</v>
      </c>
      <c r="Q2">
        <v>-45739.4</v>
      </c>
      <c r="R2">
        <v>1800</v>
      </c>
      <c r="S2">
        <v>-53263.6</v>
      </c>
    </row>
    <row r="3" spans="1:25" x14ac:dyDescent="0.35">
      <c r="A3">
        <v>1600</v>
      </c>
      <c r="B3">
        <v>-1750.9</v>
      </c>
      <c r="C3">
        <v>1600</v>
      </c>
      <c r="D3">
        <v>47049.8</v>
      </c>
      <c r="E3">
        <v>1600</v>
      </c>
      <c r="F3">
        <v>-13349.8</v>
      </c>
      <c r="G3">
        <v>1700</v>
      </c>
      <c r="H3">
        <v>-405878.7</v>
      </c>
      <c r="I3">
        <v>1600</v>
      </c>
      <c r="J3">
        <v>-103515.6</v>
      </c>
      <c r="K3">
        <v>1600</v>
      </c>
      <c r="L3">
        <v>17471.8</v>
      </c>
      <c r="N3">
        <v>1900</v>
      </c>
      <c r="O3">
        <v>-10380.5</v>
      </c>
      <c r="P3">
        <v>1900</v>
      </c>
      <c r="Q3">
        <v>-42033.9</v>
      </c>
      <c r="R3">
        <v>1900</v>
      </c>
      <c r="S3">
        <v>-52414.400000000001</v>
      </c>
    </row>
    <row r="4" spans="1:25" x14ac:dyDescent="0.35">
      <c r="A4">
        <v>1700</v>
      </c>
      <c r="B4">
        <v>-4649.5</v>
      </c>
      <c r="C4">
        <v>1700</v>
      </c>
      <c r="D4">
        <v>45418.6</v>
      </c>
      <c r="E4">
        <v>1700</v>
      </c>
      <c r="F4">
        <v>-12794.6</v>
      </c>
      <c r="G4">
        <v>1800</v>
      </c>
      <c r="H4">
        <v>-400662.3</v>
      </c>
      <c r="I4">
        <v>1667.85</v>
      </c>
      <c r="J4">
        <v>-104990.6</v>
      </c>
      <c r="K4">
        <v>1700</v>
      </c>
      <c r="L4">
        <v>17511.5</v>
      </c>
      <c r="N4">
        <v>2000</v>
      </c>
      <c r="O4">
        <v>-13223.3</v>
      </c>
      <c r="P4">
        <v>2000</v>
      </c>
      <c r="Q4">
        <v>-38336</v>
      </c>
      <c r="R4">
        <v>2000</v>
      </c>
      <c r="S4">
        <v>-51559.3</v>
      </c>
    </row>
    <row r="5" spans="1:25" x14ac:dyDescent="0.35">
      <c r="A5">
        <v>1800</v>
      </c>
      <c r="B5">
        <v>-7524.2</v>
      </c>
      <c r="C5">
        <v>1800</v>
      </c>
      <c r="D5">
        <v>44010.2</v>
      </c>
      <c r="E5">
        <v>1800</v>
      </c>
      <c r="F5">
        <v>-12211.9</v>
      </c>
      <c r="G5">
        <v>1900</v>
      </c>
      <c r="H5">
        <v>-395390.1</v>
      </c>
      <c r="I5">
        <v>1667.85</v>
      </c>
      <c r="J5">
        <v>-104990.6</v>
      </c>
      <c r="K5">
        <v>1800</v>
      </c>
      <c r="L5">
        <v>17498.099999999999</v>
      </c>
      <c r="N5">
        <v>2074.85</v>
      </c>
      <c r="O5">
        <v>-15345</v>
      </c>
      <c r="P5">
        <v>2100</v>
      </c>
      <c r="Q5">
        <v>-34645.699999999997</v>
      </c>
      <c r="R5">
        <v>2074.85</v>
      </c>
      <c r="S5">
        <v>-50918.1</v>
      </c>
    </row>
    <row r="6" spans="1:25" x14ac:dyDescent="0.35">
      <c r="A6">
        <v>1900</v>
      </c>
      <c r="B6">
        <v>-10380.5</v>
      </c>
      <c r="C6">
        <v>1900</v>
      </c>
      <c r="D6">
        <v>42814.9</v>
      </c>
      <c r="E6">
        <v>1900</v>
      </c>
      <c r="F6">
        <v>-11602.7</v>
      </c>
      <c r="G6">
        <v>2000</v>
      </c>
      <c r="H6">
        <v>-390079.2</v>
      </c>
      <c r="I6">
        <v>1700</v>
      </c>
      <c r="J6">
        <v>-105448.3</v>
      </c>
      <c r="K6">
        <v>1900</v>
      </c>
      <c r="L6">
        <v>17436.900000000001</v>
      </c>
      <c r="N6">
        <v>2100</v>
      </c>
      <c r="O6">
        <v>-13905.8</v>
      </c>
      <c r="P6">
        <v>2200</v>
      </c>
      <c r="Q6">
        <v>-30963</v>
      </c>
      <c r="R6">
        <v>2074.85</v>
      </c>
      <c r="S6">
        <v>-50918.1</v>
      </c>
      <c r="U6">
        <v>1800</v>
      </c>
      <c r="V6">
        <v>-152564.6</v>
      </c>
      <c r="X6">
        <v>1800</v>
      </c>
      <c r="Y6">
        <v>-1729.2</v>
      </c>
    </row>
    <row r="7" spans="1:25" x14ac:dyDescent="0.35">
      <c r="A7">
        <v>2000</v>
      </c>
      <c r="B7">
        <v>-13223.3</v>
      </c>
      <c r="C7">
        <v>2000</v>
      </c>
      <c r="D7">
        <v>41824.400000000001</v>
      </c>
      <c r="E7">
        <v>2000</v>
      </c>
      <c r="F7">
        <v>-10967.7</v>
      </c>
      <c r="G7">
        <v>2100</v>
      </c>
      <c r="H7">
        <v>-384741.7</v>
      </c>
      <c r="I7">
        <v>1800</v>
      </c>
      <c r="J7">
        <v>-106825.2</v>
      </c>
      <c r="K7">
        <v>2000</v>
      </c>
      <c r="L7">
        <v>17338.7</v>
      </c>
      <c r="N7">
        <v>2200</v>
      </c>
      <c r="O7">
        <v>-8174.3</v>
      </c>
      <c r="P7">
        <v>2300</v>
      </c>
      <c r="Q7">
        <v>-27287.7</v>
      </c>
      <c r="R7">
        <v>2100</v>
      </c>
      <c r="S7">
        <v>-48551.5</v>
      </c>
      <c r="U7">
        <v>1900</v>
      </c>
      <c r="V7">
        <v>-150167.79999999999</v>
      </c>
      <c r="X7">
        <v>1900</v>
      </c>
      <c r="Y7">
        <v>781.1</v>
      </c>
    </row>
    <row r="8" spans="1:25" x14ac:dyDescent="0.35">
      <c r="A8">
        <v>2074.85</v>
      </c>
      <c r="B8">
        <v>-15345</v>
      </c>
      <c r="C8">
        <v>2100</v>
      </c>
      <c r="D8">
        <v>41030.400000000001</v>
      </c>
      <c r="E8">
        <v>2100</v>
      </c>
      <c r="F8">
        <v>-10307.700000000001</v>
      </c>
      <c r="G8">
        <v>2200</v>
      </c>
      <c r="H8">
        <v>-379386.1</v>
      </c>
      <c r="I8">
        <v>1900</v>
      </c>
      <c r="J8">
        <v>-108133.9</v>
      </c>
      <c r="K8">
        <v>2100</v>
      </c>
      <c r="L8">
        <v>20440.099999999999</v>
      </c>
      <c r="N8">
        <v>2300</v>
      </c>
      <c r="O8">
        <v>-2434.6999999999998</v>
      </c>
      <c r="P8">
        <v>2400</v>
      </c>
      <c r="Q8">
        <v>-23619.7</v>
      </c>
      <c r="R8">
        <v>2200</v>
      </c>
      <c r="S8">
        <v>-39137.300000000003</v>
      </c>
      <c r="U8">
        <v>2000</v>
      </c>
      <c r="V8">
        <v>-147712.79999999999</v>
      </c>
      <c r="X8">
        <v>2000</v>
      </c>
      <c r="Y8">
        <v>3488.4</v>
      </c>
    </row>
    <row r="9" spans="1:25" x14ac:dyDescent="0.35">
      <c r="A9">
        <v>2100</v>
      </c>
      <c r="B9">
        <v>-13905.8</v>
      </c>
      <c r="C9">
        <v>2200</v>
      </c>
      <c r="D9">
        <v>40425.800000000003</v>
      </c>
      <c r="E9">
        <v>2200</v>
      </c>
      <c r="F9">
        <v>-9623.7000000000007</v>
      </c>
      <c r="G9">
        <v>2300</v>
      </c>
      <c r="H9">
        <v>-374018</v>
      </c>
      <c r="I9">
        <v>2000</v>
      </c>
      <c r="J9">
        <v>-109376.8</v>
      </c>
      <c r="K9">
        <v>2200</v>
      </c>
      <c r="L9">
        <v>33137.199999999997</v>
      </c>
      <c r="N9">
        <v>2400</v>
      </c>
      <c r="O9">
        <v>3304.5</v>
      </c>
      <c r="P9">
        <v>2500</v>
      </c>
      <c r="Q9">
        <v>-19958.8</v>
      </c>
      <c r="R9">
        <v>2300</v>
      </c>
      <c r="S9">
        <v>-29722.3</v>
      </c>
      <c r="U9">
        <v>2100</v>
      </c>
      <c r="V9">
        <v>-145201.20000000001</v>
      </c>
      <c r="X9">
        <v>2100</v>
      </c>
      <c r="Y9">
        <v>6384.7</v>
      </c>
    </row>
    <row r="10" spans="1:25" x14ac:dyDescent="0.35">
      <c r="A10">
        <v>2200</v>
      </c>
      <c r="B10">
        <v>-8174.3</v>
      </c>
      <c r="C10">
        <v>2300</v>
      </c>
      <c r="D10">
        <v>40003.699999999997</v>
      </c>
      <c r="E10">
        <v>2300</v>
      </c>
      <c r="F10">
        <v>-8916.2999999999993</v>
      </c>
      <c r="G10">
        <v>2400</v>
      </c>
      <c r="H10">
        <v>-368641.3</v>
      </c>
      <c r="I10">
        <v>2100</v>
      </c>
      <c r="J10">
        <v>-110555.5</v>
      </c>
      <c r="K10">
        <v>2300</v>
      </c>
      <c r="L10">
        <v>45835.1</v>
      </c>
      <c r="N10">
        <v>2469.85</v>
      </c>
      <c r="O10">
        <v>7308.8</v>
      </c>
      <c r="R10">
        <v>2400</v>
      </c>
      <c r="S10">
        <v>-20315.2</v>
      </c>
      <c r="U10">
        <v>2200</v>
      </c>
      <c r="V10">
        <v>-142634</v>
      </c>
      <c r="X10">
        <v>2200</v>
      </c>
      <c r="Y10">
        <v>9462.9</v>
      </c>
    </row>
    <row r="11" spans="1:25" x14ac:dyDescent="0.35">
      <c r="A11">
        <v>2300</v>
      </c>
      <c r="B11">
        <v>-2434.6999999999998</v>
      </c>
      <c r="C11">
        <v>2400</v>
      </c>
      <c r="D11">
        <v>39757.699999999997</v>
      </c>
      <c r="E11">
        <v>2400</v>
      </c>
      <c r="F11">
        <v>-8186.2</v>
      </c>
      <c r="G11">
        <v>2500</v>
      </c>
      <c r="H11">
        <v>-363258.5</v>
      </c>
      <c r="I11">
        <v>2200</v>
      </c>
      <c r="J11">
        <v>-111671</v>
      </c>
      <c r="K11">
        <v>2400</v>
      </c>
      <c r="L11">
        <v>58534.1</v>
      </c>
      <c r="N11">
        <v>2500</v>
      </c>
      <c r="O11">
        <v>7889.2</v>
      </c>
      <c r="R11">
        <v>2500</v>
      </c>
      <c r="S11">
        <v>-12069.6</v>
      </c>
      <c r="U11">
        <v>2300</v>
      </c>
      <c r="V11">
        <v>-140011.5</v>
      </c>
      <c r="X11">
        <v>2300</v>
      </c>
      <c r="Y11">
        <v>12716</v>
      </c>
    </row>
    <row r="12" spans="1:25" x14ac:dyDescent="0.35">
      <c r="A12">
        <v>2400</v>
      </c>
      <c r="B12">
        <v>3304.5</v>
      </c>
      <c r="C12">
        <v>2500</v>
      </c>
      <c r="D12">
        <v>39681.9</v>
      </c>
      <c r="E12">
        <v>2500</v>
      </c>
      <c r="F12">
        <v>-7434.3</v>
      </c>
      <c r="G12">
        <v>2600</v>
      </c>
      <c r="H12">
        <v>-357871</v>
      </c>
      <c r="I12">
        <v>2300</v>
      </c>
      <c r="J12">
        <v>-112723.8</v>
      </c>
      <c r="K12">
        <v>2500</v>
      </c>
      <c r="L12">
        <v>71234.100000000006</v>
      </c>
      <c r="U12">
        <v>2400</v>
      </c>
      <c r="V12">
        <v>-137333.79999999999</v>
      </c>
      <c r="X12">
        <v>2400</v>
      </c>
      <c r="Y12">
        <v>16138</v>
      </c>
    </row>
    <row r="13" spans="1:25" x14ac:dyDescent="0.35">
      <c r="A13">
        <v>2469.85</v>
      </c>
      <c r="B13">
        <v>7308.8</v>
      </c>
      <c r="C13">
        <v>2600</v>
      </c>
      <c r="D13">
        <v>39770.699999999997</v>
      </c>
      <c r="E13">
        <v>2600</v>
      </c>
      <c r="F13">
        <v>-6661.1</v>
      </c>
      <c r="G13">
        <v>2700</v>
      </c>
      <c r="H13">
        <v>-352479.5</v>
      </c>
      <c r="I13">
        <v>2400</v>
      </c>
      <c r="J13">
        <v>-113714.1</v>
      </c>
      <c r="K13">
        <v>2600</v>
      </c>
      <c r="L13">
        <v>83935.3</v>
      </c>
      <c r="U13">
        <v>2500</v>
      </c>
      <c r="V13">
        <v>-134600.6</v>
      </c>
      <c r="X13">
        <v>2500</v>
      </c>
      <c r="Y13">
        <v>19723.099999999999</v>
      </c>
    </row>
    <row r="14" spans="1:25" x14ac:dyDescent="0.35">
      <c r="A14">
        <v>2500</v>
      </c>
      <c r="B14">
        <v>7889.2</v>
      </c>
      <c r="C14">
        <v>2700</v>
      </c>
      <c r="D14">
        <v>40019.1</v>
      </c>
      <c r="E14">
        <v>2700</v>
      </c>
      <c r="F14">
        <v>-5867.4</v>
      </c>
      <c r="G14">
        <v>2800</v>
      </c>
      <c r="H14">
        <v>-347084.2</v>
      </c>
      <c r="I14">
        <v>2500</v>
      </c>
      <c r="J14">
        <v>-114641.8</v>
      </c>
      <c r="K14">
        <v>2700</v>
      </c>
      <c r="L14">
        <v>96637.6</v>
      </c>
    </row>
    <row r="15" spans="1:25" x14ac:dyDescent="0.35">
      <c r="A15">
        <v>2600</v>
      </c>
      <c r="B15">
        <v>9855.9</v>
      </c>
      <c r="C15">
        <v>2800</v>
      </c>
      <c r="D15">
        <v>40422</v>
      </c>
      <c r="E15">
        <v>2800</v>
      </c>
      <c r="F15">
        <v>-5053.8</v>
      </c>
      <c r="G15">
        <v>2900</v>
      </c>
      <c r="H15">
        <v>-341685.1</v>
      </c>
      <c r="I15">
        <v>2600</v>
      </c>
      <c r="J15">
        <v>-115506.6</v>
      </c>
      <c r="K15">
        <v>2800</v>
      </c>
      <c r="L15">
        <v>109341.2</v>
      </c>
    </row>
    <row r="16" spans="1:25" x14ac:dyDescent="0.35">
      <c r="A16">
        <v>2700</v>
      </c>
      <c r="B16">
        <v>11885.3</v>
      </c>
      <c r="C16">
        <v>2861.85</v>
      </c>
      <c r="D16">
        <v>40746.6</v>
      </c>
      <c r="E16">
        <v>2861.85</v>
      </c>
      <c r="F16">
        <v>-4540.8</v>
      </c>
      <c r="G16">
        <v>3000</v>
      </c>
      <c r="H16">
        <v>-336282.1</v>
      </c>
      <c r="I16">
        <v>2700</v>
      </c>
      <c r="J16">
        <v>-116308.4</v>
      </c>
      <c r="K16">
        <v>2900</v>
      </c>
      <c r="L16">
        <v>122045.9</v>
      </c>
    </row>
    <row r="17" spans="1:12" x14ac:dyDescent="0.35">
      <c r="A17">
        <v>2800</v>
      </c>
      <c r="B17">
        <v>13975.9</v>
      </c>
      <c r="C17">
        <v>2861.85</v>
      </c>
      <c r="D17">
        <v>40746.6</v>
      </c>
      <c r="E17">
        <v>2861.85</v>
      </c>
      <c r="F17">
        <v>-4540.8</v>
      </c>
      <c r="I17">
        <v>2800</v>
      </c>
      <c r="J17">
        <v>-117046.6</v>
      </c>
      <c r="K17">
        <v>3000</v>
      </c>
      <c r="L17">
        <v>134751.9</v>
      </c>
    </row>
    <row r="18" spans="1:12" x14ac:dyDescent="0.35">
      <c r="A18">
        <v>2900</v>
      </c>
      <c r="B18">
        <v>16126.1</v>
      </c>
      <c r="C18">
        <v>2900</v>
      </c>
      <c r="D18">
        <v>53723.7</v>
      </c>
      <c r="E18">
        <v>2900</v>
      </c>
      <c r="F18">
        <v>28.8</v>
      </c>
      <c r="I18">
        <v>2900</v>
      </c>
      <c r="J18">
        <v>-117721</v>
      </c>
    </row>
    <row r="19" spans="1:12" x14ac:dyDescent="0.35">
      <c r="A19">
        <v>3000</v>
      </c>
      <c r="B19">
        <v>18334.400000000001</v>
      </c>
      <c r="C19">
        <v>3000</v>
      </c>
      <c r="D19">
        <v>87717</v>
      </c>
      <c r="E19">
        <v>3000</v>
      </c>
      <c r="F19">
        <v>11978.6</v>
      </c>
      <c r="I19">
        <v>3000</v>
      </c>
      <c r="J19">
        <v>-118331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B-C-B4C</vt:lpstr>
      <vt:lpstr>SiC-B4C</vt:lpstr>
      <vt:lpstr>Fe3C</vt:lpstr>
      <vt:lpstr>FeSi</vt:lpstr>
      <vt:lpstr>Ti5Si3</vt:lpstr>
      <vt:lpstr>TiC</vt:lpstr>
      <vt:lpstr>Ti-C-Tic</vt:lpstr>
      <vt:lpstr>Si-C-SiC</vt:lpstr>
      <vt:lpstr>SiC-SiB6</vt:lpstr>
      <vt:lpstr>Fe-C-Fe3C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2026-03-04T21:13:21Z</dcterms:modified>
</cp:coreProperties>
</file>