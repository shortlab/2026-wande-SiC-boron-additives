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MIT Dropbox\Wande Cairang\MIT research\SiC RAC\Insaco SiC\Draft\Composition\"/>
    </mc:Choice>
  </mc:AlternateContent>
  <xr:revisionPtr revIDLastSave="0" documentId="13_ncr:1_{1D23C4C6-B137-4991-B4EE-2B0CD6A8E0BC}" xr6:coauthVersionLast="47" xr6:coauthVersionMax="47" xr10:uidLastSave="{00000000-0000-0000-0000-000000000000}"/>
  <bookViews>
    <workbookView xWindow="-110" yWindow="-110" windowWidth="38620" windowHeight="21100" xr2:uid="{00000000-000D-0000-FFFF-FFFF00000000}"/>
  </bookViews>
  <sheets>
    <sheet name="Composition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14" i="1" l="1"/>
  <c r="L15" i="1"/>
  <c r="L16" i="1"/>
  <c r="L17" i="1"/>
  <c r="L13" i="1"/>
  <c r="K6" i="1"/>
  <c r="K7" i="1"/>
  <c r="K8" i="1"/>
  <c r="K9" i="1"/>
  <c r="K5" i="1"/>
  <c r="K14" i="1"/>
  <c r="K15" i="1"/>
  <c r="K16" i="1"/>
  <c r="K17" i="1"/>
  <c r="K13" i="1"/>
  <c r="J6" i="1"/>
  <c r="J7" i="1"/>
  <c r="J8" i="1"/>
  <c r="J9" i="1"/>
  <c r="J5" i="1"/>
  <c r="I10" i="1"/>
  <c r="I18" i="1"/>
  <c r="J18" i="1"/>
  <c r="H18" i="1"/>
  <c r="K18" i="1" s="1"/>
  <c r="H10" i="1"/>
  <c r="J10" i="1" s="1"/>
</calcChain>
</file>

<file path=xl/sharedStrings.xml><?xml version="1.0" encoding="utf-8"?>
<sst xmlns="http://schemas.openxmlformats.org/spreadsheetml/2006/main" count="51" uniqueCount="31">
  <si>
    <t>wt.%</t>
  </si>
  <si>
    <t>Si</t>
  </si>
  <si>
    <t>C</t>
  </si>
  <si>
    <t>B</t>
  </si>
  <si>
    <t>CVD-SiC</t>
  </si>
  <si>
    <t>65.87±1.51</t>
  </si>
  <si>
    <t>34.1±1.56</t>
  </si>
  <si>
    <t>-</t>
  </si>
  <si>
    <t>SiC-B</t>
  </si>
  <si>
    <t>56.47±0.45</t>
  </si>
  <si>
    <t>38.53±0.05</t>
  </si>
  <si>
    <t>4.93±0.32</t>
  </si>
  <si>
    <t>SiC-B/Fe/Ti</t>
  </si>
  <si>
    <t>45.2±1.69</t>
  </si>
  <si>
    <t>54.73±1.79</t>
  </si>
  <si>
    <t>56.5±0.21</t>
  </si>
  <si>
    <t>35.36±0.44</t>
  </si>
  <si>
    <t>8.07±0.49</t>
  </si>
  <si>
    <t>Fe</t>
  </si>
  <si>
    <t>Ti</t>
  </si>
  <si>
    <t>at.%</t>
  </si>
  <si>
    <t>wt</t>
  </si>
  <si>
    <t>at</t>
  </si>
  <si>
    <t>57.45±0.15</t>
  </si>
  <si>
    <t>37.7±0.3</t>
  </si>
  <si>
    <t>3.85±0.15</t>
  </si>
  <si>
    <t>＜0.5</t>
  </si>
  <si>
    <t>36.9±0.43</t>
  </si>
  <si>
    <t>56.2±0.7</t>
  </si>
  <si>
    <t>6.2±0.7</t>
  </si>
  <si>
    <t>For SiC-BCFeTi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</si>
</sst>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8"/>
  <sheetViews>
    <sheetView tabSelected="1" topLeftCell="B1" zoomScale="250" zoomScaleNormal="250" workbookViewId="0">
      <selection activeCell="B1" sqref="B1:L1048576"/>
    </sheetView>
  </sheetViews>
  <sheetFormatPr defaultRowHeight="14.5" x14ac:dyDescent="0.35"/>
  <cols>
    <col min="1" max="1" width="17.7265625" customWidth="1"/>
    <col min="2" max="2" width="19.26953125" customWidth="1"/>
    <col min="3" max="3" width="22" customWidth="1"/>
  </cols>
  <sheetData>
    <row r="1" spans="1:12" x14ac:dyDescent="0.35">
      <c r="A1" t="s">
        <v>0</v>
      </c>
      <c r="B1" t="s">
        <v>1</v>
      </c>
      <c r="C1" t="s">
        <v>2</v>
      </c>
      <c r="D1" t="s">
        <v>3</v>
      </c>
      <c r="E1" t="s">
        <v>18</v>
      </c>
      <c r="F1" t="s">
        <v>19</v>
      </c>
    </row>
    <row r="2" spans="1:12" x14ac:dyDescent="0.35">
      <c r="A2" t="s">
        <v>4</v>
      </c>
      <c r="B2" t="s">
        <v>5</v>
      </c>
      <c r="C2" t="s">
        <v>6</v>
      </c>
      <c r="D2" t="s">
        <v>7</v>
      </c>
    </row>
    <row r="3" spans="1:12" x14ac:dyDescent="0.35">
      <c r="A3" t="s">
        <v>8</v>
      </c>
      <c r="B3" t="s">
        <v>9</v>
      </c>
      <c r="C3" t="s">
        <v>10</v>
      </c>
      <c r="D3" t="s">
        <v>11</v>
      </c>
      <c r="I3" t="s">
        <v>30</v>
      </c>
    </row>
    <row r="4" spans="1:12" x14ac:dyDescent="0.35">
      <c r="A4" t="s">
        <v>12</v>
      </c>
      <c r="B4" t="s">
        <v>23</v>
      </c>
      <c r="C4" t="s">
        <v>24</v>
      </c>
      <c r="D4" t="s">
        <v>25</v>
      </c>
      <c r="E4" t="s">
        <v>26</v>
      </c>
      <c r="F4" t="s">
        <v>26</v>
      </c>
      <c r="H4" t="s">
        <v>21</v>
      </c>
    </row>
    <row r="5" spans="1:12" x14ac:dyDescent="0.35">
      <c r="G5" t="s">
        <v>1</v>
      </c>
      <c r="H5">
        <v>57.6</v>
      </c>
      <c r="I5">
        <v>57.3</v>
      </c>
      <c r="J5">
        <f>AVERAGE(H5:I5)</f>
        <v>57.45</v>
      </c>
      <c r="K5">
        <f>_xlfn.STDEV.P(H5:I5)</f>
        <v>0.15000000000000213</v>
      </c>
    </row>
    <row r="6" spans="1:12" x14ac:dyDescent="0.35">
      <c r="G6" t="s">
        <v>2</v>
      </c>
      <c r="H6">
        <v>37.4</v>
      </c>
      <c r="I6">
        <v>38</v>
      </c>
      <c r="J6">
        <f t="shared" ref="J6:J10" si="0">AVERAGE(H6:I6)</f>
        <v>37.700000000000003</v>
      </c>
      <c r="K6">
        <f t="shared" ref="K6:K9" si="1">_xlfn.STDEV.P(H6:I6)</f>
        <v>0.30000000000000071</v>
      </c>
    </row>
    <row r="7" spans="1:12" x14ac:dyDescent="0.35">
      <c r="A7" t="s">
        <v>20</v>
      </c>
      <c r="B7" t="s">
        <v>1</v>
      </c>
      <c r="C7" t="s">
        <v>2</v>
      </c>
      <c r="D7" t="s">
        <v>3</v>
      </c>
      <c r="G7" t="s">
        <v>3</v>
      </c>
      <c r="H7">
        <v>4</v>
      </c>
      <c r="I7">
        <v>3.7</v>
      </c>
      <c r="J7">
        <f t="shared" si="0"/>
        <v>3.85</v>
      </c>
      <c r="K7">
        <f t="shared" si="1"/>
        <v>0.14999999999999991</v>
      </c>
    </row>
    <row r="8" spans="1:12" x14ac:dyDescent="0.35">
      <c r="A8" t="s">
        <v>4</v>
      </c>
      <c r="B8" t="s">
        <v>13</v>
      </c>
      <c r="C8" t="s">
        <v>14</v>
      </c>
      <c r="D8" t="s">
        <v>7</v>
      </c>
      <c r="G8" t="s">
        <v>18</v>
      </c>
      <c r="H8">
        <v>0.5</v>
      </c>
      <c r="I8">
        <v>0.5</v>
      </c>
      <c r="J8">
        <f t="shared" si="0"/>
        <v>0.5</v>
      </c>
      <c r="K8">
        <f t="shared" si="1"/>
        <v>0</v>
      </c>
    </row>
    <row r="9" spans="1:12" x14ac:dyDescent="0.35">
      <c r="A9" t="s">
        <v>8</v>
      </c>
      <c r="B9" t="s">
        <v>15</v>
      </c>
      <c r="C9" t="s">
        <v>16</v>
      </c>
      <c r="D9" t="s">
        <v>17</v>
      </c>
      <c r="G9" t="s">
        <v>19</v>
      </c>
      <c r="H9">
        <v>0.5</v>
      </c>
      <c r="I9">
        <v>0.5</v>
      </c>
      <c r="J9">
        <f t="shared" si="0"/>
        <v>0.5</v>
      </c>
      <c r="K9">
        <f t="shared" si="1"/>
        <v>0</v>
      </c>
    </row>
    <row r="10" spans="1:12" x14ac:dyDescent="0.35">
      <c r="A10" t="s">
        <v>12</v>
      </c>
      <c r="B10" t="s">
        <v>27</v>
      </c>
      <c r="C10" t="s">
        <v>28</v>
      </c>
      <c r="D10" t="s">
        <v>29</v>
      </c>
      <c r="E10" t="s">
        <v>26</v>
      </c>
      <c r="F10" t="s">
        <v>26</v>
      </c>
      <c r="H10">
        <f>SUM(H5:H9)</f>
        <v>100</v>
      </c>
      <c r="I10">
        <f>SUM(I5:I9)</f>
        <v>100</v>
      </c>
      <c r="J10">
        <f t="shared" si="0"/>
        <v>100</v>
      </c>
    </row>
    <row r="12" spans="1:12" x14ac:dyDescent="0.35">
      <c r="H12" t="s">
        <v>22</v>
      </c>
    </row>
    <row r="13" spans="1:12" x14ac:dyDescent="0.35">
      <c r="G13" t="s">
        <v>1</v>
      </c>
      <c r="H13">
        <v>36.5</v>
      </c>
      <c r="I13">
        <v>37.5</v>
      </c>
      <c r="J13">
        <v>36.700000000000003</v>
      </c>
      <c r="K13">
        <f>AVERAGE(H13:J13)</f>
        <v>36.9</v>
      </c>
      <c r="L13">
        <f>_xlfn.STDEV.P(H13:J13)</f>
        <v>0.43204937989385689</v>
      </c>
    </row>
    <row r="14" spans="1:12" x14ac:dyDescent="0.35">
      <c r="G14" t="s">
        <v>2</v>
      </c>
      <c r="H14">
        <v>55.4</v>
      </c>
      <c r="I14">
        <v>57.1</v>
      </c>
      <c r="J14">
        <v>56.2</v>
      </c>
      <c r="K14">
        <f t="shared" ref="K14:K17" si="2">AVERAGE(H14:J14)</f>
        <v>56.233333333333327</v>
      </c>
      <c r="L14">
        <f t="shared" ref="L14:L17" si="3">_xlfn.STDEV.P(H14:J14)</f>
        <v>0.69442222186665647</v>
      </c>
    </row>
    <row r="15" spans="1:12" x14ac:dyDescent="0.35">
      <c r="G15" t="s">
        <v>3</v>
      </c>
      <c r="H15">
        <v>7.1</v>
      </c>
      <c r="I15">
        <v>5.4</v>
      </c>
      <c r="J15">
        <v>6.1</v>
      </c>
      <c r="K15">
        <f t="shared" si="2"/>
        <v>6.2</v>
      </c>
      <c r="L15">
        <f t="shared" si="3"/>
        <v>0.6976149845485401</v>
      </c>
    </row>
    <row r="16" spans="1:12" x14ac:dyDescent="0.35">
      <c r="G16" t="s">
        <v>18</v>
      </c>
      <c r="H16">
        <v>0.5</v>
      </c>
      <c r="J16">
        <v>0.5</v>
      </c>
      <c r="K16">
        <f t="shared" si="2"/>
        <v>0.5</v>
      </c>
      <c r="L16">
        <f t="shared" si="3"/>
        <v>0</v>
      </c>
    </row>
    <row r="17" spans="7:12" x14ac:dyDescent="0.35">
      <c r="G17" t="s">
        <v>19</v>
      </c>
      <c r="H17">
        <v>0.5</v>
      </c>
      <c r="J17">
        <v>0.5</v>
      </c>
      <c r="K17">
        <f t="shared" si="2"/>
        <v>0.5</v>
      </c>
      <c r="L17">
        <f t="shared" si="3"/>
        <v>0</v>
      </c>
    </row>
    <row r="18" spans="7:12" x14ac:dyDescent="0.35">
      <c r="H18">
        <f>SUM(H13:H17)</f>
        <v>100</v>
      </c>
      <c r="I18">
        <f t="shared" ref="I18:J18" si="4">SUM(I13:I17)</f>
        <v>100</v>
      </c>
      <c r="J18">
        <f t="shared" si="4"/>
        <v>100</v>
      </c>
      <c r="K18">
        <f>AVERAGE(H18:J18)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Composition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Wande Cairang</cp:lastModifiedBy>
  <dcterms:created xsi:type="dcterms:W3CDTF">2026-03-03T16:10:36Z</dcterms:created>
  <dcterms:modified xsi:type="dcterms:W3CDTF">2026-03-10T02:24:06Z</dcterms:modified>
</cp:coreProperties>
</file>